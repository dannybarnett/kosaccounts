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B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yyyy-mm-dd hh:mm"/>
    <numFmt numFmtId="167" formatCode="yyyy-mm-dd h:mm:ss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2" fillId="2" borderId="0" pivotButton="0" quotePrefix="0" xfId="0"/>
    <xf numFmtId="0" fontId="2" fillId="2" borderId="0" pivotButton="0" quotePrefix="0" xfId="0"/>
    <xf numFmtId="4" fontId="2" fillId="2" borderId="0" pivotButton="0" quotePrefix="0" xfId="0"/>
    <xf numFmtId="165" fontId="2" fillId="2" borderId="0" pivotButton="0" quotePrefix="0" xfId="0"/>
    <xf numFmtId="166" fontId="2" fillId="2" borderId="0" pivotButton="0" quotePrefix="0" xfId="0"/>
    <xf numFmtId="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4" fontId="0" fillId="3" borderId="0" pivotButton="0" quotePrefix="0" xfId="0"/>
    <xf numFmtId="166" fontId="0" fillId="3" borderId="0" pivotButton="0" quotePrefix="0" xfId="0"/>
    <xf numFmtId="164" fontId="0" fillId="2" borderId="0" pivotButton="0" quotePrefix="0" xfId="0"/>
    <xf numFmtId="0" fontId="0" fillId="2" borderId="0" pivotButton="0" quotePrefix="0" xfId="0"/>
    <xf numFmtId="4" fontId="0" fillId="2" borderId="0" pivotButton="0" quotePrefix="0" xfId="0"/>
    <xf numFmtId="166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5" fontId="2" fillId="2" borderId="0" pivotButton="0" quotePrefix="0" xfId="0"/>
    <xf numFmtId="166" fontId="2" fillId="2" borderId="0" pivotButton="0" quotePrefix="0" xfId="0"/>
    <xf numFmtId="166" fontId="0" fillId="0" borderId="0" pivotButton="0" quotePrefix="0" xfId="0"/>
    <xf numFmtId="166" fontId="0" fillId="3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KosibahImport" displayName="KosibahImport" ref="B3:P42" headerRowCount="1">
  <autoFilter ref="B3:P42"/>
  <tableColumns count="15">
    <tableColumn id="2" name="Date"/>
    <tableColumn id="3" name="Company"/>
    <tableColumn id="4" name="Category"/>
    <tableColumn id="5" name="Net"/>
    <tableColumn id="6" name="Sales Tax"/>
    <tableColumn id="7" name="Total"/>
    <tableColumn id="8" name="Tax rate"/>
    <tableColumn id="9" name="Payment method"/>
    <tableColumn id="10" name="Check"/>
    <tableColumn id="11" name="Notes"/>
    <tableColumn id="12" name="Year"/>
    <tableColumn id="13" name="Source file"/>
    <tableColumn id="14" name="Processed on"/>
    <tableColumn id="15" name="Status"/>
    <tableColumn id="16" name="Bank ref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KosibahBank" displayName="KosibahBank" ref="B3:L31" headerRowCount="1">
  <autoFilter ref="B3:L31"/>
  <tableColumns count="11">
    <tableColumn id="2" name="Date"/>
    <tableColumn id="3" name="Description"/>
    <tableColumn id="4" name="Amount"/>
    <tableColumn id="5" name="Direction"/>
    <tableColumn id="6" name="Status"/>
    <tableColumn id="7" name="Matched receipt"/>
    <tableColumn id="8" name="Ref"/>
    <tableColumn id="9" name="Statement file"/>
    <tableColumn id="10" name="Statement start"/>
    <tableColumn id="11" name="Statement end"/>
    <tableColumn id="12" name="Processed on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2" max="2"/>
    <col width="3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8" customWidth="1" min="10" max="10"/>
    <col width="40" customWidth="1" min="11" max="11"/>
    <col width="6" customWidth="1" min="12" max="12"/>
    <col width="44" customWidth="1" min="13" max="13"/>
    <col width="18" customWidth="1" min="14" max="14"/>
    <col width="10" customWidth="1" min="15" max="15"/>
    <col width="24" customWidth="1" min="16" max="16"/>
  </cols>
  <sheetData>
    <row r="1">
      <c r="B1" t="inlineStr">
        <is>
          <t>Kosibah LLC purchases - imported</t>
        </is>
      </c>
    </row>
    <row r="3">
      <c r="B3" s="1" t="inlineStr">
        <is>
          <t>Date</t>
        </is>
      </c>
      <c r="C3" s="1" t="inlineStr">
        <is>
          <t>Company</t>
        </is>
      </c>
      <c r="D3" s="1" t="inlineStr">
        <is>
          <t>Category</t>
        </is>
      </c>
      <c r="E3" s="1" t="inlineStr">
        <is>
          <t>Net</t>
        </is>
      </c>
      <c r="F3" s="1" t="inlineStr">
        <is>
          <t>Sales Tax</t>
        </is>
      </c>
      <c r="G3" s="1" t="inlineStr">
        <is>
          <t>Total</t>
        </is>
      </c>
      <c r="H3" s="1" t="inlineStr">
        <is>
          <t>Tax rate</t>
        </is>
      </c>
      <c r="I3" s="1" t="inlineStr">
        <is>
          <t>Payment method</t>
        </is>
      </c>
      <c r="J3" s="1" t="inlineStr">
        <is>
          <t>Check</t>
        </is>
      </c>
      <c r="K3" s="1" t="inlineStr">
        <is>
          <t>Notes</t>
        </is>
      </c>
      <c r="L3" s="1" t="inlineStr">
        <is>
          <t>Year</t>
        </is>
      </c>
      <c r="M3" s="1" t="inlineStr">
        <is>
          <t>Source file</t>
        </is>
      </c>
      <c r="N3" s="1" t="inlineStr">
        <is>
          <t>Processed on</t>
        </is>
      </c>
      <c r="O3" s="1" t="inlineStr">
        <is>
          <t>Status</t>
        </is>
      </c>
      <c r="P3" s="1" t="inlineStr">
        <is>
          <t>Bank ref</t>
        </is>
      </c>
    </row>
    <row r="4">
      <c r="B4" s="2" t="n">
        <v>46110</v>
      </c>
      <c r="C4" s="3" t="inlineStr">
        <is>
          <t>T-Mobile</t>
        </is>
      </c>
      <c r="D4" s="3" t="inlineStr">
        <is>
          <t>Telephone</t>
        </is>
      </c>
      <c r="E4" s="4" t="n">
        <v>63.39</v>
      </c>
      <c r="F4" s="4" t="n">
        <v>0</v>
      </c>
      <c r="G4" s="4" t="n">
        <v>63.39</v>
      </c>
      <c r="H4" s="23" t="n">
        <v>0</v>
      </c>
      <c r="I4" s="3" t="inlineStr">
        <is>
          <t>Visa</t>
        </is>
      </c>
      <c r="J4" s="3">
        <f>IF(ROUND(E4+F4,2)=ROUND(G4,2),"ok","!!!!")</f>
        <v/>
      </c>
      <c r="K4" s="3" t="inlineStr">
        <is>
          <t>Bill is addressed to Adeyemi (account 973907571), phone (914) 359-7757; Multi-page bill (8 pages); pages 1-3 viewed, remaining pages are usage details; Taxes and fees are partly included in the plan price and partly listed separately, so no single tax total or rate is shown; sales_tax, net and tax_rate left null; Payment shown is a scheduled AutoPay for Apr 19, 2026 with Visa ****5458, not a confirmed payment; Bill due Apr 21, 2026; previous bill of $60.00 was paid Mar 19, 2026; no tax shown; net = total</t>
        </is>
      </c>
      <c r="L4" s="3" t="n">
        <v>2026</v>
      </c>
      <c r="M4" s="3" t="inlineStr">
        <is>
          <t>expenses/2026-03-29 T Mobile Yemi Osunkoya.pdf</t>
        </is>
      </c>
      <c r="N4" s="24" t="n">
        <v>46283.90906828704</v>
      </c>
      <c r="O4" s="3" t="inlineStr">
        <is>
          <t>OK</t>
        </is>
      </c>
      <c r="P4" s="3" t="inlineStr"/>
    </row>
    <row r="5">
      <c r="B5" s="7" t="n">
        <v>46110</v>
      </c>
      <c r="C5" s="8" t="inlineStr">
        <is>
          <t>T-Mobile</t>
        </is>
      </c>
      <c r="D5" s="8" t="inlineStr">
        <is>
          <t>Telephone</t>
        </is>
      </c>
      <c r="E5" s="9" t="n">
        <v>63.39</v>
      </c>
      <c r="F5" s="9" t="n">
        <v>0</v>
      </c>
      <c r="G5" s="9" t="n">
        <v>63.39</v>
      </c>
      <c r="H5" s="25" t="n">
        <v>0</v>
      </c>
      <c r="I5" s="8" t="inlineStr">
        <is>
          <t>Visa</t>
        </is>
      </c>
      <c r="J5" s="8">
        <f>IF(ROUND(E5+F5,2)=ROUND(G5,2),"ok","!!!!")</f>
        <v/>
      </c>
      <c r="K5" s="8" t="inlineStr">
        <is>
          <t>Bill issue date Mar 29, 2026; due Apr 21, 2026; account 973907571; Payment is only scheduled (AutoPay Apr 19), not confirmed as paid; Taxes and fees are itemized as included in charges (e.g. State &amp; Local Sales Tax $0.02, County 911 $0.30, Public Safety Surcharge $1.20, plus $0.39 T-Mobile fees) with no single tax total, so sales_tax and net left null; Multi-page bill (8 pages); only pages 1-2 viewed as images, remaining pages taken from extracted text (usage details); Addressed to Adeyemi, 51 Jay St Apt 5O, Brooklyn NY; no tax shown; net = total; Possible duplicate of receipts/2026-03-29 T Mobile Yemi Osunkoya.pdf</t>
        </is>
      </c>
      <c r="L5" s="8" t="n">
        <v>2026</v>
      </c>
      <c r="M5" s="8" t="inlineStr">
        <is>
          <t>expenses/2026-03-29 TMobile Yemi Osunkoya.pdf</t>
        </is>
      </c>
      <c r="N5" s="26" t="n">
        <v>46283.90906828704</v>
      </c>
      <c r="O5" s="8" t="inlineStr">
        <is>
          <t>Review</t>
        </is>
      </c>
      <c r="P5" s="8" t="inlineStr"/>
    </row>
    <row r="6">
      <c r="B6" s="2" t="n">
        <v>46141</v>
      </c>
      <c r="C6" s="3" t="inlineStr">
        <is>
          <t>T-Mobile</t>
        </is>
      </c>
      <c r="D6" s="3" t="inlineStr">
        <is>
          <t>Telephone</t>
        </is>
      </c>
      <c r="E6" s="4" t="n">
        <v>58.47</v>
      </c>
      <c r="F6" s="4" t="n">
        <v>1.53</v>
      </c>
      <c r="G6" s="4" t="n">
        <v>60</v>
      </c>
      <c r="H6" s="23" t="n">
        <v>2.617</v>
      </c>
      <c r="I6" s="3" t="inlineStr">
        <is>
          <t>Visa</t>
        </is>
      </c>
      <c r="J6" s="3">
        <f>IF(ROUND(E6+F6,2)=ROUND(G6,2),"ok","!!!!")</f>
        <v/>
      </c>
      <c r="K6" s="3" t="inlineStr">
        <is>
          <t>Multi-page bill (6 pages); only pages 1-2 viewed, remaining pages are usage details; Taxes and fees are included in the plan price. sales_tax 1.53 is the sum of the included T-Mobile fee ($0.01), state and local sales tax ($0.02), City 911 ($0.30) and State 911 ($1.20); Net $58.47 is printed as 'before taxes &amp; fees'; Payment is AutoPay scheduled for May 19, 2026 using Visa ****5458, due May 21, 2026, so it was not yet paid at issue date; Bill is addressed to Adeyemi, account 973907571</t>
        </is>
      </c>
      <c r="L6" s="3" t="n">
        <v>2026</v>
      </c>
      <c r="M6" s="3" t="inlineStr">
        <is>
          <t>expenses/2026-04-29 T Mobile Yemi Osunkoya.pdf</t>
        </is>
      </c>
      <c r="N6" s="24" t="n">
        <v>46283.90906828704</v>
      </c>
      <c r="O6" s="3" t="inlineStr">
        <is>
          <t>OK</t>
        </is>
      </c>
      <c r="P6" s="3" t="inlineStr"/>
    </row>
    <row r="7">
      <c r="B7" s="2" t="n">
        <v>46149</v>
      </c>
      <c r="C7" s="3" t="inlineStr">
        <is>
          <t>Mood</t>
        </is>
      </c>
      <c r="D7" s="3" t="inlineStr">
        <is>
          <t>Fabric</t>
        </is>
      </c>
      <c r="E7" s="4" t="n">
        <v>750</v>
      </c>
      <c r="F7" s="4" t="n">
        <v>0</v>
      </c>
      <c r="G7" s="4" t="n">
        <v>750</v>
      </c>
      <c r="H7" s="23" t="n">
        <v>0</v>
      </c>
      <c r="I7" s="3" t="inlineStr">
        <is>
          <t>Visa</t>
        </is>
      </c>
      <c r="J7" s="3">
        <f>IF(ROUND(E7+F7,2)=ROUND(G7,2),"ok","!!!!")</f>
        <v/>
      </c>
      <c r="K7" s="3" t="inlineStr">
        <is>
          <t>Receipt is crumpled and partly faint; the date reads 5/07/2026 at 1:24 pm; Ticket # 13002002; sold to Yemi Osunkoya, Cust# 1978631; Tax lines (EXEMPT-TAX and OST-TAX) both show 0.000% and 0.00; Split payment: Loyalty Pts 45.10 plus Visa 704.90, which totals 750.00; Handwritten on the receipt: 'D. BARNETT' with a signature-like scrawl, and 'REPAID TODAY'; Loyalty points earned: 705; balance 705.00 (cash value $35.25)</t>
        </is>
      </c>
      <c r="L7" s="3" t="n">
        <v>2026</v>
      </c>
      <c r="M7" s="3" t="inlineStr">
        <is>
          <t>expenses/2026-05-07 Mood Designer Fabrics Yemi Osunkoya.pdf</t>
        </is>
      </c>
      <c r="N7" s="24" t="n">
        <v>46283.90906828704</v>
      </c>
      <c r="O7" s="3" t="inlineStr">
        <is>
          <t>OK</t>
        </is>
      </c>
      <c r="P7" s="3" t="inlineStr"/>
    </row>
    <row r="8">
      <c r="B8" s="2" t="n">
        <v>46171</v>
      </c>
      <c r="C8" s="3" t="inlineStr">
        <is>
          <t>T-Mobile</t>
        </is>
      </c>
      <c r="D8" s="3" t="inlineStr">
        <is>
          <t>Telephone</t>
        </is>
      </c>
      <c r="E8" s="4" t="n">
        <v>60.81</v>
      </c>
      <c r="F8" s="4" t="n">
        <v>0</v>
      </c>
      <c r="G8" s="4" t="n">
        <v>60.81</v>
      </c>
      <c r="H8" s="23" t="n">
        <v>0</v>
      </c>
      <c r="I8" s="3" t="inlineStr">
        <is>
          <t>Visa</t>
        </is>
      </c>
      <c r="J8" s="3">
        <f>IF(ROUND(E8+F8,2)=ROUND(G8,2),"ok","!!!!")</f>
        <v/>
      </c>
      <c r="K8" s="3" t="inlineStr">
        <is>
          <t>Bill is 8 pages; only pages 1-3 were viewed, and the text shows no different total on later pages; Payment method is AutoPay scheduled for Jun 19, 2026 using Visa ****5458, so it was not yet paid on the bill date; Payment due Jun 21, 2026; Taxes and fees are mostly included in the $60.00 plan price and itemised separately (State &amp; Local Sales Tax $0.02, City 911 $0.30, State 911 $1.20, State Telecom Excise $0.01, plus additional fees). There is no single sales tax total or rate, so sales_tax, net and tax_rate are null; Bill is addressed to Adeyemi at 51 Jay St Apt 5O, Brooklyn NY, account 973907571; no tax shown; net = total</t>
        </is>
      </c>
      <c r="L8" s="3" t="n">
        <v>2026</v>
      </c>
      <c r="M8" s="3" t="inlineStr">
        <is>
          <t>expenses/2026-05-29 T Mobile Yemi Osunkoya.pdf</t>
        </is>
      </c>
      <c r="N8" s="24" t="n">
        <v>46283.90906828704</v>
      </c>
      <c r="O8" s="3" t="inlineStr">
        <is>
          <t>OK</t>
        </is>
      </c>
      <c r="P8" s="3" t="inlineStr"/>
    </row>
    <row r="9">
      <c r="B9" s="7" t="n">
        <v>46183</v>
      </c>
      <c r="C9" s="8" t="inlineStr">
        <is>
          <t>Amazon.com</t>
        </is>
      </c>
      <c r="D9" s="8" t="inlineStr">
        <is>
          <t>Office supplies</t>
        </is>
      </c>
      <c r="E9" s="9" t="n">
        <v>152.37</v>
      </c>
      <c r="F9" s="9" t="n">
        <v>0</v>
      </c>
      <c r="G9" s="9" t="n">
        <v>152.37</v>
      </c>
      <c r="H9" s="25" t="n">
        <v>0</v>
      </c>
      <c r="I9" s="8" t="inlineStr">
        <is>
          <t>Discover</t>
        </is>
      </c>
      <c r="J9" s="8">
        <f>IF(ROUND(E9+F9,2)=ROUND(G9,2),"ok","!!!!")</f>
        <v/>
      </c>
      <c r="K9" s="8" t="inlineStr">
        <is>
          <t>Screenshot of a shipping-confirmation email, not a formal receipt or invoice; Only 'Jun 10' is shown with no year; the year 2026 comes from the filename hint; Order # 114-1299484-8748236; Item price is $139.95 and the total is $152.37. The $12.42 difference is not itemised, so it could be tax, shipping or both, and I did not label it; No payment method shown; Email is addressed to yemi.osunkoya, ship-to Adeyemi - New York, NY; no tax shown; net = total</t>
        </is>
      </c>
      <c r="L9" s="8" t="n">
        <v>2026</v>
      </c>
      <c r="M9" s="8" t="inlineStr">
        <is>
          <t>expenses/2026-06-10 Amazon Yemi Osunkoya.pdf</t>
        </is>
      </c>
      <c r="N9" s="26" t="n">
        <v>46283.90906828704</v>
      </c>
      <c r="O9" s="8" t="inlineStr">
        <is>
          <t>Review</t>
        </is>
      </c>
      <c r="P9" s="8" t="inlineStr">
        <is>
          <t>bank/2026 - JUNE JULY AUGUST CAPITAL ONE TRANSACTIONS Yemi Osunkoya.csv#26</t>
        </is>
      </c>
    </row>
    <row r="10">
      <c r="B10" s="2" t="n">
        <v>46185</v>
      </c>
      <c r="C10" s="3" t="inlineStr">
        <is>
          <t>Guide Fabrics</t>
        </is>
      </c>
      <c r="D10" s="3" t="inlineStr">
        <is>
          <t>Fabric</t>
        </is>
      </c>
      <c r="E10" s="4" t="n">
        <v>160</v>
      </c>
      <c r="F10" s="4" t="n">
        <v>0</v>
      </c>
      <c r="G10" s="4" t="n">
        <v>160</v>
      </c>
      <c r="H10" s="23" t="n">
        <v>0</v>
      </c>
      <c r="I10" s="3" t="inlineStr">
        <is>
          <t>Discover</t>
        </is>
      </c>
      <c r="J10" s="3">
        <f>IF(ROUND(E10+F10,2)=ROUND(G10,2),"ok","!!!!")</f>
        <v/>
      </c>
      <c r="K10" s="3" t="inlineStr">
        <is>
          <t>Card terminal slip (customer copy), not an itemized receipt; Description field is blank, so no line items are shown; No tax information shown; PIN verified, approved, credit sale on a debit card; Time 11:58 AM; no tax shown; net = total</t>
        </is>
      </c>
      <c r="L10" s="3" t="n">
        <v>2026</v>
      </c>
      <c r="M10" s="3" t="inlineStr">
        <is>
          <t>expenses/2026-06-12 Guide Fabrics INC Yemi Osunkoya.pdf</t>
        </is>
      </c>
      <c r="N10" s="24" t="n">
        <v>46283.90906828704</v>
      </c>
      <c r="O10" s="3" t="inlineStr">
        <is>
          <t>OK</t>
        </is>
      </c>
      <c r="P10" s="3" t="inlineStr">
        <is>
          <t>bank/2026 - JUNE JULY AUGUST CAPITAL ONE TRANSACTIONS Yemi Osunkoya.csv#24</t>
        </is>
      </c>
    </row>
    <row r="11">
      <c r="B11" s="2" t="n">
        <v>46185</v>
      </c>
      <c r="C11" s="3" t="inlineStr">
        <is>
          <t>Pacific Trimming</t>
        </is>
      </c>
      <c r="D11" s="3" t="inlineStr">
        <is>
          <t>Haberdashery</t>
        </is>
      </c>
      <c r="E11" s="4" t="n">
        <v>19.5</v>
      </c>
      <c r="F11" s="4" t="n">
        <v>0</v>
      </c>
      <c r="G11" s="4" t="n">
        <v>19.5</v>
      </c>
      <c r="H11" s="23" t="n">
        <v>0</v>
      </c>
      <c r="I11" s="3" t="inlineStr">
        <is>
          <t>Discover</t>
        </is>
      </c>
      <c r="J11" s="3">
        <f>IF(ROUND(E11+F11,2)=ROUND(G11,2),"ok","!!!!")</f>
        <v/>
      </c>
      <c r="K11" s="3" t="inlineStr">
        <is>
          <t>No tax line shown on receipt; Card holder: Adeyemi Oluyomi Osunkoya; Receipt #9393, in-store purchase at 11:53 AM; no tax shown; net = total</t>
        </is>
      </c>
      <c r="L11" s="3" t="n">
        <v>2026</v>
      </c>
      <c r="M11" s="3" t="inlineStr">
        <is>
          <t>expenses/2026-06-12 Pacific Trimming Yemi Osunkoya.pdf</t>
        </is>
      </c>
      <c r="N11" s="24" t="n">
        <v>46283.90906828704</v>
      </c>
      <c r="O11" s="3" t="inlineStr">
        <is>
          <t>OK</t>
        </is>
      </c>
      <c r="P11" s="3" t="inlineStr">
        <is>
          <t>bank/2026 - JUNE JULY AUGUST CAPITAL ONE TRANSACTIONS Yemi Osunkoya.csv#25</t>
        </is>
      </c>
    </row>
    <row r="12">
      <c r="B12" s="2" t="n">
        <v>46203</v>
      </c>
      <c r="C12" s="3" t="inlineStr">
        <is>
          <t>B&amp;J Fabrics Inc</t>
        </is>
      </c>
      <c r="D12" s="3" t="inlineStr">
        <is>
          <t>Fabric</t>
        </is>
      </c>
      <c r="E12" s="4" t="n">
        <v>50</v>
      </c>
      <c r="F12" s="4" t="n">
        <v>0</v>
      </c>
      <c r="G12" s="4" t="n">
        <v>50</v>
      </c>
      <c r="H12" s="23" t="n">
        <v>0</v>
      </c>
      <c r="I12" s="3" t="inlineStr">
        <is>
          <t>Discover</t>
        </is>
      </c>
      <c r="J12" s="3">
        <f>IF(ROUND(E12+F12,2)=ROUND(G12,2),"ok","!!!!")</f>
        <v/>
      </c>
      <c r="K12" s="3" t="inlineStr">
        <is>
          <t>Receipt header also says 'CapitalOne Debit' (with AID) but the payment line shows Discover 7122 (Contactless) for $50.00; No tax line shown on receipt; Receipt is a photo of a crumpled paper receipt, with the date and total circled in pen; Original price $105.00 reduced by discounts to $50.00 total; In-store purchase, receipt TXn6; no tax shown; net = total</t>
        </is>
      </c>
      <c r="L12" s="3" t="n">
        <v>2026</v>
      </c>
      <c r="M12" s="3" t="inlineStr">
        <is>
          <t>expenses/2026-06-30 B&amp;J Fabrics Yemi Osunkoya.pdf</t>
        </is>
      </c>
      <c r="N12" s="24" t="n">
        <v>46283.90906828704</v>
      </c>
      <c r="O12" s="3" t="inlineStr">
        <is>
          <t>OK</t>
        </is>
      </c>
      <c r="P12" s="3" t="inlineStr">
        <is>
          <t>bank/2026 - JUNE JULY AUGUST CAPITAL ONE TRANSACTIONS Yemi Osunkoya.csv#20</t>
        </is>
      </c>
    </row>
    <row r="13">
      <c r="B13" s="2" t="n">
        <v>46203</v>
      </c>
      <c r="C13" s="3" t="inlineStr">
        <is>
          <t>FabricHouse Inc</t>
        </is>
      </c>
      <c r="D13" s="3" t="inlineStr">
        <is>
          <t>Fabric</t>
        </is>
      </c>
      <c r="E13" s="4" t="n">
        <v>435</v>
      </c>
      <c r="F13" s="4" t="n">
        <v>0</v>
      </c>
      <c r="G13" s="4" t="n">
        <v>435</v>
      </c>
      <c r="H13" s="23" t="n">
        <v>0</v>
      </c>
      <c r="I13" s="3" t="inlineStr">
        <is>
          <t>Discover</t>
        </is>
      </c>
      <c r="J13" s="3">
        <f>IF(ROUND(E13+F13,2)=ROUND(G13,2),"ok","!!!!")</f>
        <v/>
      </c>
      <c r="K13" s="3" t="inlineStr">
        <is>
          <t>Card terminal slip only, no itemised lines; No tax line shown; 'Tax Number: 0' is printed but is not a tax amount; Verified by PIN, though also marked Contactless; Photo is slightly smudged but amounts are legible; no tax shown; net = total</t>
        </is>
      </c>
      <c r="L13" s="3" t="n">
        <v>2026</v>
      </c>
      <c r="M13" s="3" t="inlineStr">
        <is>
          <t>expenses/2026-06-30 FABRIC HOUSE Yemi Osunkoya.pdf</t>
        </is>
      </c>
      <c r="N13" s="24" t="n">
        <v>46283.90906828704</v>
      </c>
      <c r="O13" s="3" t="inlineStr">
        <is>
          <t>OK</t>
        </is>
      </c>
      <c r="P13" s="3" t="inlineStr">
        <is>
          <t>bank/2026 - JUNE JULY AUGUST CAPITAL ONE TRANSACTIONS Yemi Osunkoya.csv#15</t>
        </is>
      </c>
    </row>
    <row r="14">
      <c r="B14" s="2" t="n">
        <v>46203</v>
      </c>
      <c r="C14" s="3" t="inlineStr">
        <is>
          <t>Guide Fabrics</t>
        </is>
      </c>
      <c r="D14" s="3" t="inlineStr">
        <is>
          <t>Fabric</t>
        </is>
      </c>
      <c r="E14" s="4" t="n">
        <v>52.5</v>
      </c>
      <c r="F14" s="4" t="n">
        <v>0</v>
      </c>
      <c r="G14" s="4" t="n">
        <v>52.5</v>
      </c>
      <c r="H14" s="23" t="n">
        <v>0</v>
      </c>
      <c r="I14" s="3" t="inlineStr">
        <is>
          <t>Discover</t>
        </is>
      </c>
      <c r="J14" s="3">
        <f>IF(ROUND(E14+F14,2)=ROUND(G14,2),"ok","!!!!")</f>
        <v/>
      </c>
      <c r="K14" s="3" t="inlineStr">
        <is>
          <t>Card terminal slip only, not an itemized receipt; no line items or tax breakdown shown; Description field is blank; Transaction time 2:36 PM, PIN verified, customer copy; no tax shown; net = total</t>
        </is>
      </c>
      <c r="L14" s="3" t="n">
        <v>2026</v>
      </c>
      <c r="M14" s="3" t="inlineStr">
        <is>
          <t>expenses/2026-06-30 Guide Fabrics INC Yemi Osunkoya.pdf</t>
        </is>
      </c>
      <c r="N14" s="24" t="n">
        <v>46283.90906828704</v>
      </c>
      <c r="O14" s="3" t="inlineStr">
        <is>
          <t>OK</t>
        </is>
      </c>
      <c r="P14" s="3" t="inlineStr">
        <is>
          <t>bank/2026 - JUNE JULY AUGUST CAPITAL ONE TRANSACTIONS Yemi Osunkoya.csv#19</t>
        </is>
      </c>
    </row>
    <row r="15">
      <c r="B15" s="2" t="n">
        <v>46203</v>
      </c>
      <c r="C15" s="3" t="inlineStr">
        <is>
          <t>Pacific Trimming</t>
        </is>
      </c>
      <c r="D15" s="3" t="inlineStr">
        <is>
          <t>Haberdashery</t>
        </is>
      </c>
      <c r="E15" s="4" t="n">
        <v>73.73999999999999</v>
      </c>
      <c r="F15" s="4" t="n">
        <v>0</v>
      </c>
      <c r="G15" s="4" t="n">
        <v>73.73999999999999</v>
      </c>
      <c r="H15" s="23" t="n">
        <v>0</v>
      </c>
      <c r="I15" s="3" t="inlineStr">
        <is>
          <t>Discover</t>
        </is>
      </c>
      <c r="J15" s="3">
        <f>IF(ROUND(E15+F15,2)=ROUND(G15,2),"ok","!!!!")</f>
        <v/>
      </c>
      <c r="K15" s="3" t="inlineStr">
        <is>
          <t>Photo of a receipt, blurry in places; No tax line shown; subtotal equals total; Card holder: Adeyemi Oluyomi Osunkoya; Line items sum to $73.74; Chip card, PIN verified; no tax shown; net = total</t>
        </is>
      </c>
      <c r="L15" s="3" t="n">
        <v>2026</v>
      </c>
      <c r="M15" s="3" t="inlineStr">
        <is>
          <t>expenses/2026-06-30 Pacific Trimming &amp; Riri COBRAX Yemi Osunkoya.pdf</t>
        </is>
      </c>
      <c r="N15" s="24" t="n">
        <v>46283.90906828704</v>
      </c>
      <c r="O15" s="3" t="inlineStr">
        <is>
          <t>OK</t>
        </is>
      </c>
      <c r="P15" s="3" t="inlineStr">
        <is>
          <t>bank/2026 - JUNE JULY AUGUST CAPITAL ONE TRANSACTIONS Yemi Osunkoya.csv#18</t>
        </is>
      </c>
    </row>
    <row r="16">
      <c r="B16" s="2" t="n">
        <v>46203</v>
      </c>
      <c r="C16" s="3" t="inlineStr">
        <is>
          <t>Preview Textiles LLC</t>
        </is>
      </c>
      <c r="D16" s="3" t="inlineStr">
        <is>
          <t>Fabric</t>
        </is>
      </c>
      <c r="E16" s="4" t="n">
        <v>120.75</v>
      </c>
      <c r="F16" s="4" t="n">
        <v>0</v>
      </c>
      <c r="G16" s="4" t="n">
        <v>120.75</v>
      </c>
      <c r="H16" s="23" t="n">
        <v>0</v>
      </c>
      <c r="I16" s="3" t="inlineStr">
        <is>
          <t>Discover</t>
        </is>
      </c>
      <c r="J16" s="3">
        <f>IF(ROUND(E16+F16,2)=ROUND(G16,2),"ok","!!!!")</f>
        <v/>
      </c>
      <c r="K16" s="3" t="inlineStr">
        <is>
          <t>No tax line or subtotal is printed, so sales_tax and net are null; Sale No. 268170; billed to Kosibah / Yemi Osonkoya; Invoice is combined with an attached card terminal slip (Discover, Manual CP, approval code 426503, $120.75, 15:23:10); Invoice Payment Method field is blank; the payment method comes from the card slip; Scan is slightly skewed and part of the fine print is cut off; Line item quantities are partly faint, read as 2 and 1 and consistent with the amounts; no tax shown; net = total</t>
        </is>
      </c>
      <c r="L16" s="3" t="n">
        <v>2026</v>
      </c>
      <c r="M16" s="3" t="inlineStr">
        <is>
          <t>expenses/2026-06-30 Preview Textiles LLC II Yemi Osunkoya.pdf</t>
        </is>
      </c>
      <c r="N16" s="24" t="n">
        <v>46283.90906828704</v>
      </c>
      <c r="O16" s="3" t="inlineStr">
        <is>
          <t>OK</t>
        </is>
      </c>
      <c r="P16" s="3" t="inlineStr">
        <is>
          <t>bank/2026 - JUNE JULY AUGUST CAPITAL ONE TRANSACTIONS Yemi Osunkoya.csv#17</t>
        </is>
      </c>
    </row>
    <row r="17">
      <c r="B17" s="2" t="n">
        <v>46203</v>
      </c>
      <c r="C17" s="3" t="inlineStr">
        <is>
          <t>Preview Textiles LLC</t>
        </is>
      </c>
      <c r="D17" s="3" t="inlineStr">
        <is>
          <t>Fabric</t>
        </is>
      </c>
      <c r="E17" s="4" t="n">
        <v>168</v>
      </c>
      <c r="F17" s="4" t="n">
        <v>0</v>
      </c>
      <c r="G17" s="4" t="n">
        <v>168</v>
      </c>
      <c r="H17" s="23" t="n">
        <v>0</v>
      </c>
      <c r="I17" s="3" t="inlineStr">
        <is>
          <t>Discover</t>
        </is>
      </c>
      <c r="J17" s="3">
        <f>IF(ROUND(E17+F17,2)=ROUND(G17,2),"ok","!!!!")</f>
        <v/>
      </c>
      <c r="K17" s="3" t="inlineStr">
        <is>
          <t>Sale No. 268162; Card terminal slip stapled/overlaid on invoice shows Discover ending 7122, amount $168.00, approved, 06/30/26; No tax line or tax information shown; Bill To: Kosibah, Yemi Osonkoya; Payment Method field on the invoice is blank; Part of the footer terms text is covered by the card slip; no tax shown; net = total</t>
        </is>
      </c>
      <c r="L17" s="3" t="n">
        <v>2026</v>
      </c>
      <c r="M17" s="3" t="inlineStr">
        <is>
          <t>expenses/2026-06-30 Preview Textiles LLC Yemi Osunkoya.pdf</t>
        </is>
      </c>
      <c r="N17" s="24" t="n">
        <v>46283.90906828704</v>
      </c>
      <c r="O17" s="3" t="inlineStr">
        <is>
          <t>OK</t>
        </is>
      </c>
      <c r="P17" s="3" t="inlineStr">
        <is>
          <t>bank/2026 - JUNE JULY AUGUST CAPITAL ONE TRANSACTIONS Yemi Osunkoya.csv#16</t>
        </is>
      </c>
    </row>
    <row r="18">
      <c r="B18" s="2" t="n">
        <v>46204</v>
      </c>
      <c r="C18" s="3" t="inlineStr">
        <is>
          <t>Guide Fabrics</t>
        </is>
      </c>
      <c r="D18" s="3" t="inlineStr">
        <is>
          <t>Fabric</t>
        </is>
      </c>
      <c r="E18" s="4" t="n">
        <v>30</v>
      </c>
      <c r="F18" s="4" t="n">
        <v>0</v>
      </c>
      <c r="G18" s="4" t="n">
        <v>30</v>
      </c>
      <c r="H18" s="23" t="n">
        <v>0</v>
      </c>
      <c r="I18" s="3" t="inlineStr">
        <is>
          <t>Discover</t>
        </is>
      </c>
      <c r="J18" s="3">
        <f>IF(ROUND(E18+F18,2)=ROUND(G18,2),"ok","!!!!")</f>
        <v/>
      </c>
      <c r="K18" s="3" t="inlineStr">
        <is>
          <t>Card terminal slip (customer copy), not an itemised receipt; no line items, description is blank; No tax information shown; Image is blurry; amount read as $30.00 and card last digits as 7122; Date printed as 7/1/26 10:11 AM; no tax shown; net = total</t>
        </is>
      </c>
      <c r="L18" s="3" t="n">
        <v>2026</v>
      </c>
      <c r="M18" s="3" t="inlineStr">
        <is>
          <t>expenses/2026-07-01 Guide Fabrics INC Yemi Osunkoya.pdf</t>
        </is>
      </c>
      <c r="N18" s="24" t="n">
        <v>46283.90906828704</v>
      </c>
      <c r="O18" s="3" t="inlineStr">
        <is>
          <t>OK</t>
        </is>
      </c>
      <c r="P18" s="3" t="inlineStr">
        <is>
          <t>bank/2026 - JUNE JULY AUGUST CAPITAL ONE TRANSACTIONS Yemi Osunkoya.csv#14</t>
        </is>
      </c>
    </row>
    <row r="19">
      <c r="B19" s="2" t="n">
        <v>46213</v>
      </c>
      <c r="C19" s="3" t="inlineStr">
        <is>
          <t>Pacific Trimming</t>
        </is>
      </c>
      <c r="D19" s="3" t="inlineStr">
        <is>
          <t>Haberdashery</t>
        </is>
      </c>
      <c r="E19" s="4" t="n">
        <v>54.58</v>
      </c>
      <c r="F19" s="4" t="n">
        <v>0</v>
      </c>
      <c r="G19" s="4" t="n">
        <v>54.58</v>
      </c>
      <c r="H19" s="23" t="n">
        <v>0</v>
      </c>
      <c r="I19" s="3" t="inlineStr">
        <is>
          <t>Discover</t>
        </is>
      </c>
      <c r="J19" s="3">
        <f>IF(ROUND(E19+F19,2)=ROUND(G19,2),"ok","!!!!")</f>
        <v/>
      </c>
      <c r="K19" s="3" t="inlineStr">
        <is>
          <t>No tax line shown on receipt, so sales_tax and tax_rate are null; Subtotal and total are both $54.58, and the line items add up to that; Receipt is crumpled but legible; the first item name looks like 'RIRI Zipper' with a quantity of 1; Card holder: ADEYEMI OLUYOMI OSUNKOYA; chip and PIN verified; Receipt no. UDA6</t>
        </is>
      </c>
      <c r="L19" s="3" t="n">
        <v>2026</v>
      </c>
      <c r="M19" s="3" t="inlineStr">
        <is>
          <t>expenses/2026-07-10 Pacific Trimming &amp; Riri COBRAX Yemi Osunkoya.pdf</t>
        </is>
      </c>
      <c r="N19" s="24" t="n">
        <v>46283.90906828704</v>
      </c>
      <c r="O19" s="3" t="inlineStr">
        <is>
          <t>OK</t>
        </is>
      </c>
      <c r="P19" s="3" t="inlineStr">
        <is>
          <t>bank/2026 - JUNE JULY AUGUST CAPITAL ONE TRANSACTIONS Yemi Osunkoya.csv#13</t>
        </is>
      </c>
    </row>
    <row r="20">
      <c r="B20" s="2" t="n">
        <v>46213</v>
      </c>
      <c r="C20" s="3" t="inlineStr">
        <is>
          <t>SIL Thread Inc</t>
        </is>
      </c>
      <c r="D20" s="3" t="inlineStr">
        <is>
          <t>Haberdashery</t>
        </is>
      </c>
      <c r="E20" s="4" t="n">
        <v>76.25</v>
      </c>
      <c r="F20" s="4" t="n">
        <v>0</v>
      </c>
      <c r="G20" s="4" t="n">
        <v>76.25</v>
      </c>
      <c r="H20" s="23" t="n">
        <v>0</v>
      </c>
      <c r="I20" s="3" t="inlineStr">
        <is>
          <t>Check</t>
        </is>
      </c>
      <c r="J20" s="3">
        <f>IF(ROUND(E20+F20,2)=ROUND(G20,2),"ok","!!!!")</f>
        <v/>
      </c>
      <c r="K20" s="3" t="inlineStr">
        <is>
          <t>Receipt also shows 'Cash Rec'd: 76.25' and 'Cash Accnt: 1011' but 'CREDIT CARD' is printed with CC4# 7122, so payment appears to be by card; Tax line printed as 0.00; Trans #657597; Tote bag line item is 0.00; Photo of thermal receipt, slightly creased/faded</t>
        </is>
      </c>
      <c r="L20" s="3" t="n">
        <v>2026</v>
      </c>
      <c r="M20" s="3" t="inlineStr">
        <is>
          <t>expenses/2026-07-10 SIL Thread INC Yemi Osunkoya.pdf</t>
        </is>
      </c>
      <c r="N20" s="24" t="n">
        <v>46283.90906828704</v>
      </c>
      <c r="O20" s="3" t="inlineStr">
        <is>
          <t>OK</t>
        </is>
      </c>
      <c r="P20" s="3" t="inlineStr">
        <is>
          <t>bank/2026 - JUNE JULY AUGUST CAPITAL ONE TRANSACTIONS Yemi Osunkoya.csv#12</t>
        </is>
      </c>
    </row>
    <row r="21">
      <c r="B21" s="2" t="n">
        <v>46219</v>
      </c>
      <c r="C21" s="3" t="inlineStr">
        <is>
          <t>C&amp;C Button Inc</t>
        </is>
      </c>
      <c r="D21" s="3" t="inlineStr">
        <is>
          <t>Haberdashery</t>
        </is>
      </c>
      <c r="E21" s="4" t="n">
        <v>50</v>
      </c>
      <c r="F21" s="4" t="n">
        <v>0</v>
      </c>
      <c r="G21" s="4" t="n">
        <v>50</v>
      </c>
      <c r="H21" s="23" t="n">
        <v>0</v>
      </c>
      <c r="I21" s="3" t="inlineStr">
        <is>
          <t>Visa</t>
        </is>
      </c>
      <c r="J21" s="3">
        <f>IF(ROUND(E21+F21,2)=ROUND(G21,2),"ok","!!!!")</f>
        <v/>
      </c>
      <c r="K21" s="3" t="inlineStr">
        <is>
          <t>Photo of handwritten invoice #28104 with a card terminal receipt (Receipt#20260716_10011) overlaid; the terminal receipt is torn/cut off at the edges; Terminal receipt shows Sub Total 50.00, Tax 0.00, Amount Due USD 50.00, VISA chip read, Approved 50.00; Customer name on invoice partly obscured (appears to be '...BAH LLC'); Handwritten note: paid with D. Barnett Visa, repaid via transfer from Discover; Invoice total $50, deposit $50, balance 0; Terminal receipt shows date 07/16/2026 and time 13:27:21 / 01:28:00 PM; No bank transaction found</t>
        </is>
      </c>
      <c r="L21" s="3" t="n">
        <v>2026</v>
      </c>
      <c r="M21" s="3" t="inlineStr">
        <is>
          <t>expenses/2026-07-16 C &amp; C Button INC Yemi Osunkoya.pdf</t>
        </is>
      </c>
      <c r="N21" s="24" t="n">
        <v>46283.90906828704</v>
      </c>
      <c r="O21" s="3" t="inlineStr">
        <is>
          <t>OK</t>
        </is>
      </c>
      <c r="P21" s="3" t="inlineStr"/>
    </row>
    <row r="22">
      <c r="B22" s="2" t="n">
        <v>46219</v>
      </c>
      <c r="C22" s="3" t="inlineStr">
        <is>
          <t>Star Snaps</t>
        </is>
      </c>
      <c r="D22" s="3" t="inlineStr">
        <is>
          <t>Haberdashery</t>
        </is>
      </c>
      <c r="E22" s="4" t="n">
        <v>40</v>
      </c>
      <c r="F22" s="4" t="n">
        <v>0</v>
      </c>
      <c r="G22" s="4" t="n">
        <v>40</v>
      </c>
      <c r="H22" s="23" t="n">
        <v>0</v>
      </c>
      <c r="I22" s="3" t="inlineStr">
        <is>
          <t>Discover</t>
        </is>
      </c>
      <c r="J22" s="3">
        <f>IF(ROUND(E22+F22,2)=ROUND(G22,2),"ok","!!!!")</f>
        <v/>
      </c>
      <c r="K22" s="3" t="inlineStr">
        <is>
          <t>Receipt is blurry/low quality; card-terminal slip with no itemisation; No tax information shown; Card shows as DISCOVER but app name reads 'CapitalOne Debit'; Customer copy; time 14:24, Trans #5, Batch #360; no tax shown; net = total</t>
        </is>
      </c>
      <c r="L22" s="3" t="n">
        <v>2026</v>
      </c>
      <c r="M22" s="3" t="inlineStr">
        <is>
          <t>expenses/2026-07-16 Star Snaps INC Yemi Osunkoya.pdf</t>
        </is>
      </c>
      <c r="N22" s="24" t="n">
        <v>46283.90906828704</v>
      </c>
      <c r="O22" s="3" t="inlineStr">
        <is>
          <t>OK</t>
        </is>
      </c>
      <c r="P22" s="3" t="inlineStr">
        <is>
          <t>bank/2026 - JUNE JULY AUGUST CAPITAL ONE TRANSACTIONS Yemi Osunkoya.csv#9</t>
        </is>
      </c>
    </row>
    <row r="23">
      <c r="B23" s="2" t="n">
        <v>46231</v>
      </c>
      <c r="C23" s="3" t="inlineStr">
        <is>
          <t>C&amp;C Button Inc</t>
        </is>
      </c>
      <c r="D23" s="3" t="inlineStr">
        <is>
          <t>Haberdashery</t>
        </is>
      </c>
      <c r="E23" s="4" t="n">
        <v>10</v>
      </c>
      <c r="F23" s="4" t="n">
        <v>0</v>
      </c>
      <c r="G23" s="4" t="n">
        <v>10</v>
      </c>
      <c r="H23" s="23" t="n">
        <v>0</v>
      </c>
      <c r="I23" s="3" t="inlineStr">
        <is>
          <t>Visa</t>
        </is>
      </c>
      <c r="J23" s="3">
        <f>IF(ROUND(E23+F23,2)=ROUND(G23,2),"ok","!!!!")</f>
        <v/>
      </c>
      <c r="K23" s="3" t="inlineStr">
        <is>
          <t>Card receipt slip attached over the handwritten invoice #28178; Handwritten note: 'Reimb'd to D Barnett 7/28/26'; Handwritten description 'Silver Hopper' is partly unclear; Customer name on invoice partly covered by receipt (reads like 'Kosibah LLC'); Card slip shows Tax: 0.00; Printed header reads 'C &amp; C Button Inc' (partly smudged); No bank transaction found</t>
        </is>
      </c>
      <c r="L23" s="3" t="n">
        <v>2026</v>
      </c>
      <c r="M23" s="3" t="inlineStr">
        <is>
          <t>expenses/2026-07-28 C &amp; C Buttons INC Yemi Osunkoya.pdf</t>
        </is>
      </c>
      <c r="N23" s="24" t="n">
        <v>46283.90906828704</v>
      </c>
      <c r="O23" s="3" t="inlineStr">
        <is>
          <t>OK</t>
        </is>
      </c>
      <c r="P23" s="3" t="inlineStr"/>
    </row>
    <row r="24">
      <c r="B24" s="2" t="n">
        <v>46232</v>
      </c>
      <c r="C24" s="3" t="inlineStr">
        <is>
          <t>Munaluchi</t>
        </is>
      </c>
      <c r="D24" s="3" t="inlineStr">
        <is>
          <t>Advertising and publicity</t>
        </is>
      </c>
      <c r="E24" s="4" t="n">
        <v>99.98999999999999</v>
      </c>
      <c r="F24" s="4" t="n">
        <v>0</v>
      </c>
      <c r="G24" s="4" t="n">
        <v>99.98999999999999</v>
      </c>
      <c r="H24" s="23" t="n">
        <v>0</v>
      </c>
      <c r="I24" s="3" t="inlineStr">
        <is>
          <t>Discover</t>
        </is>
      </c>
      <c r="J24" s="3">
        <f>IF(ROUND(E24+F24,2)=ROUND(G24,2),"ok","!!!!")</f>
        <v/>
      </c>
      <c r="K24" s="3" t="inlineStr">
        <is>
          <t>No tax line shown on receipt; Subscription period Jul 29-Aug 29, 2026; Invoice number B98A09E-0028, receipt number 2727-6192</t>
        </is>
      </c>
      <c r="L24" s="3" t="n">
        <v>2026</v>
      </c>
      <c r="M24" s="3" t="inlineStr">
        <is>
          <t>expenses/2026-07-29 Munaluchi LLC Yemi Osunkoya.pdf</t>
        </is>
      </c>
      <c r="N24" s="24" t="n">
        <v>46283.90906828704</v>
      </c>
      <c r="O24" s="3" t="inlineStr">
        <is>
          <t>OK</t>
        </is>
      </c>
      <c r="P24" s="3" t="inlineStr">
        <is>
          <t>bank/2026 - JUNE JULY AUGUST CAPITAL ONE TRANSACTIONS Yemi Osunkoya.csv#7</t>
        </is>
      </c>
    </row>
    <row r="25">
      <c r="B25" s="2" t="n">
        <v>46246</v>
      </c>
      <c r="C25" s="3" t="inlineStr">
        <is>
          <t>C&amp;C Button Inc</t>
        </is>
      </c>
      <c r="D25" s="3" t="inlineStr">
        <is>
          <t>Haberdashery</t>
        </is>
      </c>
      <c r="E25" s="4" t="n">
        <v>10</v>
      </c>
      <c r="F25" s="4" t="n">
        <v>0</v>
      </c>
      <c r="G25" s="4" t="n">
        <v>10</v>
      </c>
      <c r="H25" s="23" t="n">
        <v>0</v>
      </c>
      <c r="I25" s="3" t="inlineStr">
        <is>
          <t>Visa</t>
        </is>
      </c>
      <c r="J25" s="3">
        <f>IF(ROUND(E25+F25,2)=ROUND(G25,2),"ok","!!!!")</f>
        <v/>
      </c>
      <c r="K25" s="3" t="inlineStr">
        <is>
          <t>Two documents overlaid: printed credit card receipt (Receipt#20260812_10009) on top of handwritten invoice #28292; Handwritten invoice date reads 08/12/'26, matching the printed receipt date; Card number partially masked; last digits appear as 313 (circled), digit count uncertain; Handwritten note: 'Repayment made to D Barnett via transfer'; Invoice total $10, deposit $10, balance 0; Buyer name on invoice partly cut off (appears to be '...BAH LLC'); Supplier address on receipt has '230 WEST' crossed out, followed by '38TH ST'; New York NY 10018; No bank transaction found</t>
        </is>
      </c>
      <c r="L25" s="3" t="n">
        <v>2026</v>
      </c>
      <c r="M25" s="3" t="inlineStr">
        <is>
          <t>expenses/2026-08-12 C &amp; C Button INC Yemi Osunkoya.pdf</t>
        </is>
      </c>
      <c r="N25" s="24" t="n">
        <v>46283.90906828704</v>
      </c>
      <c r="O25" s="3" t="inlineStr">
        <is>
          <t>OK</t>
        </is>
      </c>
      <c r="P25" s="3" t="inlineStr"/>
    </row>
    <row r="26">
      <c r="B26" s="2" t="n">
        <v>46252</v>
      </c>
      <c r="C26" s="3" t="inlineStr">
        <is>
          <t>Pacific Trimming</t>
        </is>
      </c>
      <c r="D26" s="3" t="inlineStr">
        <is>
          <t>Haberdashery</t>
        </is>
      </c>
      <c r="E26" s="4" t="n">
        <v>5.35</v>
      </c>
      <c r="F26" s="4" t="n">
        <v>0</v>
      </c>
      <c r="G26" s="4" t="n">
        <v>5.35</v>
      </c>
      <c r="H26" s="23" t="n">
        <v>0</v>
      </c>
      <c r="I26" s="3" t="inlineStr">
        <is>
          <t>Visa</t>
        </is>
      </c>
      <c r="J26" s="3">
        <f>IF(ROUND(E26+F26,2)=ROUND(G26,2),"ok","!!!!")</f>
        <v/>
      </c>
      <c r="K26" s="3" t="inlineStr">
        <is>
          <t>Handwritten note on receipt: 'Repayed D. Barnett 08/15/26' (handwritten date is earlier than the printed transaction date of 08/18/2026); No tax line shown on receipt; Crumpled/creased receipt, contactless payment, merchant copy; no tax shown; net = total; No bank transaction found</t>
        </is>
      </c>
      <c r="L26" s="3" t="n">
        <v>2026</v>
      </c>
      <c r="M26" s="3" t="inlineStr">
        <is>
          <t>expenses/2026-08-18 Pacific Trimming and Riri Cobrax Yemi Osunkoya.pdf</t>
        </is>
      </c>
      <c r="N26" s="24" t="n">
        <v>46283.90906828704</v>
      </c>
      <c r="O26" s="3" t="inlineStr">
        <is>
          <t>OK</t>
        </is>
      </c>
      <c r="P26" s="3" t="inlineStr"/>
    </row>
    <row r="27">
      <c r="B27" s="2" t="n">
        <v>46252</v>
      </c>
      <c r="C27" s="3" t="inlineStr">
        <is>
          <t>SIL Thread Inc</t>
        </is>
      </c>
      <c r="D27" s="3" t="inlineStr">
        <is>
          <t>Haberdashery</t>
        </is>
      </c>
      <c r="E27" s="4" t="n">
        <v>13.75</v>
      </c>
      <c r="F27" s="4" t="n">
        <v>0</v>
      </c>
      <c r="G27" s="4" t="n">
        <v>13.75</v>
      </c>
      <c r="H27" s="23" t="n">
        <v>0</v>
      </c>
      <c r="I27" s="3" t="inlineStr">
        <is>
          <t>Cash</t>
        </is>
      </c>
      <c r="J27" s="3">
        <f>IF(ROUND(E27+F27,2)=ROUND(G27,2),"ok","!!!!")</f>
        <v/>
      </c>
      <c r="K27" s="3" t="inlineStr">
        <is>
          <t>Handwritten note: 'Repayment to D. Barnett 08/18/26'; Printed payment info is ambiguous: 'Cash Rec'd 13.75' with 'Chg.amt 0.00' alongside 'CREDIT CARD' and CC4# 3131; Tax line shows 0.00; Some printed text (cashier ID and time) is crossed out with a pen mark; time reads 14:56:30; Receipt is crumpled and bottom of the return policy text is cut off; No bank transaction found</t>
        </is>
      </c>
      <c r="L27" s="3" t="n">
        <v>2026</v>
      </c>
      <c r="M27" s="3" t="inlineStr">
        <is>
          <t>expenses/2026-08-18 SIL Thread Inc Yemi Osunkoya.pdf</t>
        </is>
      </c>
      <c r="N27" s="24" t="n">
        <v>46283.90906828704</v>
      </c>
      <c r="O27" s="3" t="inlineStr">
        <is>
          <t>OK</t>
        </is>
      </c>
      <c r="P27" s="3" t="inlineStr"/>
    </row>
    <row r="28">
      <c r="B28" s="2" t="n">
        <v>46253</v>
      </c>
      <c r="C28" s="3" t="inlineStr">
        <is>
          <t>Pacific Trimming</t>
        </is>
      </c>
      <c r="D28" s="3" t="inlineStr">
        <is>
          <t>Haberdashery</t>
        </is>
      </c>
      <c r="E28" s="4" t="n">
        <v>30.9</v>
      </c>
      <c r="F28" s="4" t="n">
        <v>0</v>
      </c>
      <c r="G28" s="4" t="n">
        <v>30.9</v>
      </c>
      <c r="H28" s="23" t="n">
        <v>0</v>
      </c>
      <c r="I28" s="3" t="inlineStr">
        <is>
          <t>Discover</t>
        </is>
      </c>
      <c r="J28" s="3">
        <f>IF(ROUND(E28+F28,2)=ROUND(G28,2),"ok","!!!!")</f>
        <v/>
      </c>
      <c r="K28" s="3" t="inlineStr">
        <is>
          <t>No tax line shown on receipt; subtotal equals total; Contactless card payment, Merchant Copy; Photo of receipt is slightly blurry with smudges but amounts are legible; no tax shown; net = total</t>
        </is>
      </c>
      <c r="L28" s="3" t="n">
        <v>2026</v>
      </c>
      <c r="M28" s="3" t="inlineStr">
        <is>
          <t>expenses/2026-08-19 Pacific Trimming &amp; Riri Cobrax Yemi Osunkoya.pdf</t>
        </is>
      </c>
      <c r="N28" s="24" t="n">
        <v>46283.90906828704</v>
      </c>
      <c r="O28" s="3" t="inlineStr">
        <is>
          <t>OK</t>
        </is>
      </c>
      <c r="P28" s="3" t="inlineStr">
        <is>
          <t>bank/2026 - JUNE JULY AUGUST CAPITAL ONE TRANSACTIONS Yemi Osunkoya.csv#2</t>
        </is>
      </c>
    </row>
    <row r="29">
      <c r="B29" s="2" t="n">
        <v>46263</v>
      </c>
      <c r="C29" s="3" t="inlineStr">
        <is>
          <t>Munaluchi</t>
        </is>
      </c>
      <c r="D29" s="3" t="inlineStr">
        <is>
          <t>Advertising and publicity</t>
        </is>
      </c>
      <c r="E29" s="4" t="n">
        <v>99.98999999999999</v>
      </c>
      <c r="F29" s="4" t="n">
        <v>0</v>
      </c>
      <c r="G29" s="4" t="n">
        <v>99.98999999999999</v>
      </c>
      <c r="H29" s="23" t="n">
        <v>0</v>
      </c>
      <c r="I29" s="3" t="inlineStr">
        <is>
          <t>Discover</t>
        </is>
      </c>
      <c r="J29" s="3">
        <f>IF(ROUND(E29+F29,2)=ROUND(G29,2),"ok","!!!!")</f>
        <v/>
      </c>
      <c r="K29" s="3" t="inlineStr">
        <is>
          <t>No tax line shown; subtotal equals total; Invoice number B98A09E-0029, receipt number 2742-8237; no tax shown; net = total</t>
        </is>
      </c>
      <c r="L29" s="3" t="n">
        <v>2026</v>
      </c>
      <c r="M29" s="3" t="inlineStr">
        <is>
          <t>expenses/2026-08-29 Munaluchi LLC Yemi Osunkoya.pdf</t>
        </is>
      </c>
      <c r="N29" s="24" t="n">
        <v>46283.90906828704</v>
      </c>
      <c r="O29" s="3" t="inlineStr">
        <is>
          <t>OK</t>
        </is>
      </c>
      <c r="P29" s="3" t="inlineStr">
        <is>
          <t>bank/2026 - JUNE JULY AUGUST CAPITAL ONE TRANSACTIONS Yemi Osunkoya.csv#1</t>
        </is>
      </c>
    </row>
    <row r="30">
      <c r="B30" s="7" t="n">
        <v>46202</v>
      </c>
      <c r="C30" s="8" t="inlineStr">
        <is>
          <t>Munaluchi</t>
        </is>
      </c>
      <c r="D30" s="8" t="inlineStr">
        <is>
          <t>Advertising and publicity</t>
        </is>
      </c>
      <c r="E30" s="9" t="n">
        <v>99.98999999999999</v>
      </c>
      <c r="F30" s="9" t="n">
        <v>0</v>
      </c>
      <c r="G30" s="9" t="n">
        <v>99.98999999999999</v>
      </c>
      <c r="H30" s="25" t="n">
        <v>0</v>
      </c>
      <c r="I30" s="8" t="inlineStr">
        <is>
          <t>Discover</t>
        </is>
      </c>
      <c r="J30" s="8">
        <f>IF(ROUND(E30+F30,2)=ROUND(G30,2),"ok","!!!!")</f>
        <v/>
      </c>
      <c r="K30" s="8" t="inlineStr">
        <is>
          <t>From bank statement; no receipt</t>
        </is>
      </c>
      <c r="L30" s="8" t="n">
        <v>2026</v>
      </c>
      <c r="M30" s="8" t="inlineStr">
        <is>
          <t>bank/2026 - JUNE JULY AUGUST CAPITAL ONE TRANSACTIONS Yemi Osunkoya.csv</t>
        </is>
      </c>
      <c r="N30" s="26" t="n">
        <v>46283.90906828704</v>
      </c>
      <c r="O30" s="8" t="inlineStr">
        <is>
          <t>Review</t>
        </is>
      </c>
      <c r="P30" s="8" t="inlineStr">
        <is>
          <t>bank/2026 - JUNE JULY AUGUST CAPITAL ONE TRANSACTIONS Yemi Osunkoya.csv#21</t>
        </is>
      </c>
    </row>
    <row r="31">
      <c r="B31" s="2" t="n">
        <v>46050</v>
      </c>
      <c r="C31" s="3" t="inlineStr">
        <is>
          <t>Zoom</t>
        </is>
      </c>
      <c r="D31" s="3" t="inlineStr">
        <is>
          <t>Office supplies</t>
        </is>
      </c>
      <c r="E31" s="4" t="n">
        <v>159.9</v>
      </c>
      <c r="F31" s="4" t="n">
        <v>3.85</v>
      </c>
      <c r="G31" s="4" t="n">
        <v>163.75</v>
      </c>
      <c r="H31" s="23" t="n">
        <v>2.408</v>
      </c>
      <c r="I31" s="3" t="inlineStr">
        <is>
          <t>Mastercard</t>
        </is>
      </c>
      <c r="J31" s="3">
        <f>IF(ROUND(E31+F31,2)=ROUND(G31,2),"ok","!!!!")</f>
        <v/>
      </c>
      <c r="K31" s="3" t="inlineStr">
        <is>
          <t>Invoice #INV339612908; The $3.85 tax is labelled 'Excise Tax', jurisdiction 'City'. No percentage rate is printed, so tax_rate is null.; Invoice balance $0.00, paid in full on Jan 28, 2026 (payment P-399495187); Billed to Kosibah LLC; Two pages</t>
        </is>
      </c>
      <c r="L31" s="3" t="n">
        <v>2026</v>
      </c>
      <c r="M31" s="3" t="inlineStr">
        <is>
          <t>expenses/2026-01-28 Zoom.com.pdf</t>
        </is>
      </c>
      <c r="N31" s="24" t="n">
        <v>46286.71853585648</v>
      </c>
      <c r="O31" s="3" t="inlineStr">
        <is>
          <t>OK</t>
        </is>
      </c>
      <c r="P31" s="3" t="inlineStr"/>
    </row>
    <row r="32">
      <c r="B32" s="2" t="n">
        <v>46051</v>
      </c>
      <c r="C32" s="3" t="inlineStr">
        <is>
          <t>Munaluchi</t>
        </is>
      </c>
      <c r="D32" s="3" t="inlineStr">
        <is>
          <t>Advertising and publicity</t>
        </is>
      </c>
      <c r="E32" s="4" t="n">
        <v>99.98999999999999</v>
      </c>
      <c r="F32" s="4" t="n">
        <v>0</v>
      </c>
      <c r="G32" s="4" t="n">
        <v>99.98999999999999</v>
      </c>
      <c r="H32" s="23" t="n">
        <v>0</v>
      </c>
      <c r="I32" s="3" t="inlineStr">
        <is>
          <t>Mastercard</t>
        </is>
      </c>
      <c r="J32" s="3">
        <f>IF(ROUND(E32+F32,2)=ROUND(G32,2),"ok","!!!!")</f>
        <v/>
      </c>
      <c r="K32" s="3" t="inlineStr">
        <is>
          <t>No tax line shown on receipt; sales_tax left null; Invoice number B98A09E-0022, receipt number 2016-3202; Billed to Yemi Osunkoya</t>
        </is>
      </c>
      <c r="L32" s="3" t="n">
        <v>2026</v>
      </c>
      <c r="M32" s="3" t="inlineStr">
        <is>
          <t>expenses/2026-01-29 Munaluchi LLC.pdf</t>
        </is>
      </c>
      <c r="N32" s="24" t="n">
        <v>46286.71853585648</v>
      </c>
      <c r="O32" s="3" t="inlineStr">
        <is>
          <t>OK</t>
        </is>
      </c>
      <c r="P32" s="3" t="inlineStr"/>
    </row>
    <row r="33">
      <c r="B33" s="2" t="n">
        <v>46051</v>
      </c>
      <c r="C33" s="3" t="inlineStr">
        <is>
          <t>T-Mobile</t>
        </is>
      </c>
      <c r="D33" s="3" t="inlineStr">
        <is>
          <t>Telephone</t>
        </is>
      </c>
      <c r="E33" s="4" t="n">
        <v>142.57</v>
      </c>
      <c r="F33" s="4" t="n">
        <v>0</v>
      </c>
      <c r="G33" s="4" t="n">
        <v>142.57</v>
      </c>
      <c r="H33" s="23" t="n">
        <v>0</v>
      </c>
      <c r="I33" s="3" t="inlineStr">
        <is>
          <t>Visa</t>
        </is>
      </c>
      <c r="J33" s="3">
        <f>IF(ROUND(E33+F33,2)=ROUND(G33,2),"ok","!!!!")</f>
        <v/>
      </c>
      <c r="K33" s="3" t="inlineStr">
        <is>
          <t>This is an 8-page bill. I read pages 1-3 in the file and used the extracted text for pages 4-8, which are usage details.; The bill is a phone bill, not a retail receipt. Total due is $142.57 and the bill is due Feb 21, 2026.; Payment is only scheduled: AutoPay is set for Feb 19, 2026 on Visa ****5458. The bill does not show it as paid.; The bill lists taxes and fees separately: $1.53 already included in the plan price ($0.01 state telecom excise, $0.02 state and local sales tax, $0.30 county 911, $1.20 public safety surcharge) plus $9.32 of additional T-Mobile fees. Only $0.02 is labelled sales tax, so sales_tax, net and tax_rate are null.; Customer name on the bill is Adeyemi, at 51 Jay St Apt 5O, Brooklyn NY. Account 973907571, line (914) 359-7757.; $73.25 of the charges are international calls to the UK, many of them roaming, which may be personal rather than business use.; no tax shown; net = total</t>
        </is>
      </c>
      <c r="L33" s="3" t="n">
        <v>2026</v>
      </c>
      <c r="M33" s="3" t="inlineStr">
        <is>
          <t>expenses/2026-01-29 T Mobile.pdf</t>
        </is>
      </c>
      <c r="N33" s="24" t="n">
        <v>46286.71853585648</v>
      </c>
      <c r="O33" s="3" t="inlineStr">
        <is>
          <t>OK</t>
        </is>
      </c>
      <c r="P33" s="3" t="inlineStr"/>
    </row>
    <row r="34">
      <c r="B34" s="2" t="n">
        <v>46081</v>
      </c>
      <c r="C34" s="3" t="inlineStr">
        <is>
          <t>T-Mobile</t>
        </is>
      </c>
      <c r="D34" s="3" t="inlineStr">
        <is>
          <t>Telephone</t>
        </is>
      </c>
      <c r="E34" s="4" t="n">
        <v>58.47</v>
      </c>
      <c r="F34" s="4" t="n">
        <v>1.53</v>
      </c>
      <c r="G34" s="4" t="n">
        <v>60</v>
      </c>
      <c r="H34" s="23" t="n">
        <v>2.617</v>
      </c>
      <c r="I34" s="3" t="inlineStr">
        <is>
          <t>Visa</t>
        </is>
      </c>
      <c r="J34" s="3">
        <f>IF(ROUND(E34+F34,2)=ROUND(G34,2),"ok","!!!!")</f>
        <v/>
      </c>
      <c r="K34" s="3" t="inlineStr">
        <is>
          <t>Taxes and fees are included in the plan price. Sales tax of 1.53 is the sum of the included State Telecom Excise 0.01, State &amp; Local Sales Tax 0.02, County 911 0.30 and Public Safety Communications Surcharge 1.20.; Net 58.47 is the printed 'Magenta 55+ - before taxes &amp; fees' amount.; Bill issue date is Feb 28, 2026 and it is due Mar 21, 2026. It is a bill for the Mar 01 - Mar 29 period, charged in advance.; Payment had not yet been made when the bill was issued. AutoPay was scheduled for Mar 19, 2026 on Visa ****5458.; The bill is addressed to Adeyemi O. Osunkoya, 51 Jay St Apt 5O, Brooklyn NY.; 4-page document. Pages 3 and 4 are terms, ads and a payment slip.; tax_rate not shown on the bill.</t>
        </is>
      </c>
      <c r="L34" s="3" t="n">
        <v>2026</v>
      </c>
      <c r="M34" s="3" t="inlineStr">
        <is>
          <t>expenses/2026-02-28 T Mobile.pdf</t>
        </is>
      </c>
      <c r="N34" s="24" t="n">
        <v>46286.71853585648</v>
      </c>
      <c r="O34" s="3" t="inlineStr">
        <is>
          <t>OK</t>
        </is>
      </c>
      <c r="P34" s="3" t="inlineStr"/>
    </row>
    <row r="35">
      <c r="B35" s="2" t="n">
        <v>46081</v>
      </c>
      <c r="C35" s="3" t="inlineStr">
        <is>
          <t>Munaluchi</t>
        </is>
      </c>
      <c r="D35" s="3" t="inlineStr">
        <is>
          <t>Advertising and publicity</t>
        </is>
      </c>
      <c r="E35" s="4" t="n">
        <v>99.98999999999999</v>
      </c>
      <c r="F35" s="4" t="n">
        <v>0</v>
      </c>
      <c r="G35" s="4" t="n">
        <v>99.98999999999999</v>
      </c>
      <c r="H35" s="23" t="n">
        <v>0</v>
      </c>
      <c r="I35" s="3" t="inlineStr">
        <is>
          <t>Discover</t>
        </is>
      </c>
      <c r="J35" s="3">
        <f>IF(ROUND(E35+F35,2)=ROUND(G35,2),"ok","!!!!")</f>
        <v/>
      </c>
      <c r="K35" s="3" t="inlineStr">
        <is>
          <t>No tax line shown on receipt; Date paid is February 28, 2026; filename date 2026-02-29 is not a valid date (2026 is not a leap year); Invoice number B98A09E-0023, receipt number 2413-1631; no tax shown; net = total</t>
        </is>
      </c>
      <c r="L35" s="3" t="n">
        <v>2026</v>
      </c>
      <c r="M35" s="3" t="inlineStr">
        <is>
          <t>expenses/2026-02-29 Munaluchi LLC.pdf</t>
        </is>
      </c>
      <c r="N35" s="24" t="n">
        <v>46286.71853585648</v>
      </c>
      <c r="O35" s="3" t="inlineStr">
        <is>
          <t>OK</t>
        </is>
      </c>
      <c r="P35" s="3" t="inlineStr"/>
    </row>
    <row r="36">
      <c r="B36" s="2" t="n">
        <v>46110</v>
      </c>
      <c r="C36" s="3" t="inlineStr">
        <is>
          <t>Munaluchi</t>
        </is>
      </c>
      <c r="D36" s="3" t="inlineStr">
        <is>
          <t>Advertising and publicity</t>
        </is>
      </c>
      <c r="E36" s="4" t="n">
        <v>99.98999999999999</v>
      </c>
      <c r="F36" s="4" t="n">
        <v>0</v>
      </c>
      <c r="G36" s="4" t="n">
        <v>99.98999999999999</v>
      </c>
      <c r="H36" s="23" t="n">
        <v>0</v>
      </c>
      <c r="I36" s="3" t="inlineStr">
        <is>
          <t>Discover</t>
        </is>
      </c>
      <c r="J36" s="3">
        <f>IF(ROUND(E36+F36,2)=ROUND(G36,2),"ok","!!!!")</f>
        <v/>
      </c>
      <c r="K36" s="3" t="inlineStr">
        <is>
          <t>No tax line shown on receipt; Invoice number B98A09E-0024, receipt number 2612-5452</t>
        </is>
      </c>
      <c r="L36" s="3" t="n">
        <v>2026</v>
      </c>
      <c r="M36" s="3" t="inlineStr">
        <is>
          <t>expenses/2026-03-29 Munaluchi LLC.pdf</t>
        </is>
      </c>
      <c r="N36" s="24" t="n">
        <v>46286.71853585648</v>
      </c>
      <c r="O36" s="3" t="inlineStr">
        <is>
          <t>OK</t>
        </is>
      </c>
      <c r="P36" s="3" t="inlineStr"/>
    </row>
    <row r="37">
      <c r="B37" s="2" t="n">
        <v>46153</v>
      </c>
      <c r="C37" s="3" t="inlineStr">
        <is>
          <t>Amazon</t>
        </is>
      </c>
      <c r="D37" s="3" t="inlineStr">
        <is>
          <t>Office supplies</t>
        </is>
      </c>
      <c r="E37" s="4" t="n">
        <v>112.98</v>
      </c>
      <c r="F37" s="4" t="n">
        <v>10.02</v>
      </c>
      <c r="G37" s="4" t="n">
        <v>123</v>
      </c>
      <c r="H37" s="23" t="n">
        <v>8.869999999999999</v>
      </c>
      <c r="I37" s="3" t="inlineStr">
        <is>
          <t>Discover</t>
        </is>
      </c>
      <c r="J37" s="3">
        <f>IF(ROUND(E37+F37,2)=ROUND(G37,2),"ok","!!!!")</f>
        <v/>
      </c>
      <c r="K37" s="3" t="inlineStr">
        <is>
          <t>Screenshot of Amazon order summary; individual items not visible; Tax is labelled 'Estimated tax to be collected'; tax_rate is computed from tax/net (10.02/112.98), not printed; Shipping $6.99 fully offset by Free Shipping -$6.99; Ship to Adeyemi Osunkoya, 515 Manhattan Ave Uppr, New York, NY 10027</t>
        </is>
      </c>
      <c r="L37" s="3" t="n">
        <v>2026</v>
      </c>
      <c r="M37" s="3" t="inlineStr">
        <is>
          <t>expenses/2026-05-11 Amazon.jpg</t>
        </is>
      </c>
      <c r="N37" s="24" t="n">
        <v>46286.71853585648</v>
      </c>
      <c r="O37" s="3" t="inlineStr">
        <is>
          <t>OK</t>
        </is>
      </c>
      <c r="P37" s="3" t="inlineStr"/>
    </row>
    <row r="38">
      <c r="B38" s="2" t="n">
        <v>46171</v>
      </c>
      <c r="C38" s="3" t="inlineStr">
        <is>
          <t>Munaluchi</t>
        </is>
      </c>
      <c r="D38" s="3" t="inlineStr">
        <is>
          <t>Advertising and publicity</t>
        </is>
      </c>
      <c r="E38" s="4" t="n">
        <v>99.98999999999999</v>
      </c>
      <c r="F38" s="4" t="n">
        <v>0</v>
      </c>
      <c r="G38" s="4" t="n">
        <v>99.98999999999999</v>
      </c>
      <c r="H38" s="23" t="n">
        <v>0</v>
      </c>
      <c r="I38" s="3" t="inlineStr">
        <is>
          <t>Discover</t>
        </is>
      </c>
      <c r="J38" s="3">
        <f>IF(ROUND(E38+F38,2)=ROUND(G38,2),"ok","!!!!")</f>
        <v/>
      </c>
      <c r="K38" s="3" t="inlineStr">
        <is>
          <t>No tax line shown on receipt; Bill to Yemi Osunkoya; no tax shown; net = total</t>
        </is>
      </c>
      <c r="L38" s="3" t="n">
        <v>2026</v>
      </c>
      <c r="M38" s="3" t="inlineStr">
        <is>
          <t>expenses/2026-05-29 Munaluchi LLC.pdf</t>
        </is>
      </c>
      <c r="N38" s="24" t="n">
        <v>46286.71853585648</v>
      </c>
      <c r="O38" s="3" t="inlineStr">
        <is>
          <t>OK</t>
        </is>
      </c>
      <c r="P38" s="3" t="inlineStr"/>
    </row>
    <row r="39">
      <c r="B39" s="2" t="n">
        <v>46286</v>
      </c>
      <c r="C39" s="3" t="inlineStr">
        <is>
          <t>Pacific Trimming</t>
        </is>
      </c>
      <c r="D39" s="3" t="inlineStr">
        <is>
          <t>Haberdashery</t>
        </is>
      </c>
      <c r="E39" s="4" t="n">
        <v>18.69</v>
      </c>
      <c r="F39" s="4" t="n">
        <v>0</v>
      </c>
      <c r="G39" s="4" t="n">
        <v>18.69</v>
      </c>
      <c r="H39" s="23" t="n">
        <v>0</v>
      </c>
      <c r="I39" s="3" t="inlineStr">
        <is>
          <t>Visa</t>
        </is>
      </c>
      <c r="J39" s="3">
        <f>IF(ROUND(E39+F39,2)=ROUND(G39,2),"ok","!!!!")</f>
        <v/>
      </c>
      <c r="K39" s="3" t="inlineStr">
        <is>
          <t>No tax line is shown; subtotal equals total ($18.69), so sales_tax, net and tax_rate are null; Handwritten annotation reads 'D. BARNETT REPAID 08/21/2026'. That date is a month before the printed receipt date of Sep 21, 2026, so it may be a slip for 09/21; Paid on a card held by Adeyemi Osunkoya; the handwriting suggests D. Barnett reimbursed it; Signature on the receipt (CVM: Signature); Receipt is a photo/scan with a smudged, faded top-left corner; First line item description is truncated ('Invisible 13"-16"'), likely an invisible zipper; no tax shown; net = total</t>
        </is>
      </c>
      <c r="L39" s="3" t="n">
        <v>2026</v>
      </c>
      <c r="M39" s="3" t="inlineStr">
        <is>
          <t>expenses/2026-09-21 Pacific Trimming &amp; Riri Cobrax.pdf</t>
        </is>
      </c>
      <c r="N39" s="24" t="n">
        <v>46286.71853585648</v>
      </c>
      <c r="O39" s="3" t="inlineStr">
        <is>
          <t>OK</t>
        </is>
      </c>
      <c r="P39" s="3" t="inlineStr"/>
    </row>
    <row r="40">
      <c r="B40" s="2" t="n">
        <v>45859</v>
      </c>
      <c r="C40" s="3" t="inlineStr">
        <is>
          <t>Pacific Trimming</t>
        </is>
      </c>
      <c r="D40" s="3" t="inlineStr">
        <is>
          <t>Haberdashery</t>
        </is>
      </c>
      <c r="E40" s="4" t="n">
        <v>3.75</v>
      </c>
      <c r="F40" s="4" t="n">
        <v>0</v>
      </c>
      <c r="G40" s="4" t="n">
        <v>3.75</v>
      </c>
      <c r="H40" s="23" t="n">
        <v>0</v>
      </c>
      <c r="I40" s="3" t="inlineStr">
        <is>
          <t>Mastercard</t>
        </is>
      </c>
      <c r="J40" s="3">
        <f>IF(ROUND(E40+F40,2)=ROUND(G40,2),"ok","!!!!")</f>
        <v/>
      </c>
      <c r="K40" s="3" t="inlineStr">
        <is>
          <t>No tax line shown on receipt; subtotal equals total; Receipt is a photo with some blur/shadow but all amounts legible; no tax shown; net = total</t>
        </is>
      </c>
      <c r="L40" s="3" t="n">
        <v>2025</v>
      </c>
      <c r="M40" s="3" t="inlineStr">
        <is>
          <t>expenses/2025-07-21 Pacific Trimming Enterprise INC.pdf</t>
        </is>
      </c>
      <c r="N40" s="24" t="n">
        <v>46286.86163054546</v>
      </c>
      <c r="O40" s="3" t="inlineStr">
        <is>
          <t>OK</t>
        </is>
      </c>
      <c r="P40" s="3" t="inlineStr"/>
    </row>
    <row r="41">
      <c r="B41" s="2" t="n">
        <v>45959</v>
      </c>
      <c r="C41" s="3" t="inlineStr">
        <is>
          <t>Munaluchi</t>
        </is>
      </c>
      <c r="D41" s="3" t="inlineStr">
        <is>
          <t>Advertising and publicity</t>
        </is>
      </c>
      <c r="E41" s="4" t="n">
        <v>99.98999999999999</v>
      </c>
      <c r="F41" s="4" t="n">
        <v>0</v>
      </c>
      <c r="G41" s="4" t="n">
        <v>99.98999999999999</v>
      </c>
      <c r="H41" s="23" t="n">
        <v>0</v>
      </c>
      <c r="I41" s="3" t="inlineStr">
        <is>
          <t>Mastercard</t>
        </is>
      </c>
      <c r="J41" s="3">
        <f>IF(ROUND(E41+F41,2)=ROUND(G41,2),"ok","!!!!")</f>
        <v/>
      </c>
      <c r="K41" s="3" t="inlineStr">
        <is>
          <t>Receipt shows no tax line; sales_tax left null; Invoice number B98A09E-0019, receipt number 2136-1147; Billed to Yemi Osunkoya, 515 Manhattan Avenue, New York</t>
        </is>
      </c>
      <c r="L41" s="3" t="n">
        <v>2025</v>
      </c>
      <c r="M41" s="3" t="inlineStr">
        <is>
          <t>expenses/2025-10-29 Munaluchi LLC.pdf</t>
        </is>
      </c>
      <c r="N41" s="24" t="n">
        <v>46286.86163054546</v>
      </c>
      <c r="O41" s="3" t="inlineStr">
        <is>
          <t>OK</t>
        </is>
      </c>
      <c r="P41" s="3" t="inlineStr"/>
    </row>
    <row r="42">
      <c r="B42" s="2" t="n">
        <v>46020</v>
      </c>
      <c r="C42" s="3" t="inlineStr">
        <is>
          <t>Munaluchi</t>
        </is>
      </c>
      <c r="D42" s="3" t="inlineStr">
        <is>
          <t>Advertising and publicity</t>
        </is>
      </c>
      <c r="E42" s="4" t="n">
        <v>99.98999999999999</v>
      </c>
      <c r="F42" s="4" t="n">
        <v>0</v>
      </c>
      <c r="G42" s="4" t="n">
        <v>99.98999999999999</v>
      </c>
      <c r="H42" s="23" t="n">
        <v>0</v>
      </c>
      <c r="I42" s="3" t="inlineStr">
        <is>
          <t>Mastercard</t>
        </is>
      </c>
      <c r="J42" s="3">
        <f>IF(ROUND(E42+F42,2)=ROUND(G42,2),"ok","!!!!")</f>
        <v/>
      </c>
      <c r="K42" s="3" t="inlineStr">
        <is>
          <t>No tax line shown on receipt; Invoice number B98A09E-0021, receipt number 2366-2630; Billed to Yemi Osunkoya</t>
        </is>
      </c>
      <c r="L42" s="3" t="n">
        <v>2025</v>
      </c>
      <c r="M42" s="3" t="inlineStr">
        <is>
          <t>expenses/2025-12-29 Munaluchi LLC.pdf</t>
        </is>
      </c>
      <c r="N42" s="24" t="n">
        <v>46286.86163054546</v>
      </c>
      <c r="O42" s="3" t="inlineStr">
        <is>
          <t>OK</t>
        </is>
      </c>
      <c r="P42" s="3" t="inlineStr"/>
    </row>
    <row r="43">
      <c r="B43" t="inlineStr">
        <is>
          <t>Total</t>
        </is>
      </c>
      <c r="E43" s="12">
        <f>SUBTOTAL(109,E4:E42)</f>
        <v/>
      </c>
      <c r="F43" s="12">
        <f>SUBTOTAL(109,F4:F42)</f>
        <v/>
      </c>
      <c r="G43" s="12">
        <f>SUBTOTAL(109,G4:G42)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B1" t="inlineStr">
        <is>
          <t>Kosibah LLC bank transactions - reconciliation</t>
        </is>
      </c>
    </row>
    <row r="3">
      <c r="B3" s="1" t="inlineStr">
        <is>
          <t>Date</t>
        </is>
      </c>
      <c r="C3" s="1" t="inlineStr">
        <is>
          <t>Description</t>
        </is>
      </c>
      <c r="D3" s="1" t="inlineStr">
        <is>
          <t>Amount</t>
        </is>
      </c>
      <c r="E3" s="1" t="inlineStr">
        <is>
          <t>Direction</t>
        </is>
      </c>
      <c r="F3" s="1" t="inlineStr">
        <is>
          <t>Status</t>
        </is>
      </c>
      <c r="G3" s="1" t="inlineStr">
        <is>
          <t>Matched receipt</t>
        </is>
      </c>
      <c r="H3" s="1" t="inlineStr">
        <is>
          <t>Ref</t>
        </is>
      </c>
      <c r="I3" s="1" t="inlineStr">
        <is>
          <t>Statement file</t>
        </is>
      </c>
      <c r="J3" s="1" t="inlineStr">
        <is>
          <t>Statement start</t>
        </is>
      </c>
      <c r="K3" s="1" t="inlineStr">
        <is>
          <t>Statement end</t>
        </is>
      </c>
      <c r="L3" s="1" t="inlineStr">
        <is>
          <t>Processed on</t>
        </is>
      </c>
    </row>
    <row r="4">
      <c r="B4" s="13" t="n">
        <v>46265</v>
      </c>
      <c r="C4" t="inlineStr">
        <is>
          <t>Recur Debit Card Purchase MUNALUCHI LLC              ...1272     NJ</t>
        </is>
      </c>
      <c r="D4" s="12" t="n">
        <v>99.98999999999999</v>
      </c>
      <c r="E4" t="inlineStr">
        <is>
          <t>debit</t>
        </is>
      </c>
      <c r="F4" t="inlineStr">
        <is>
          <t>Matched</t>
        </is>
      </c>
      <c r="G4" t="inlineStr">
        <is>
          <t>expenses/2026-08-29 Munaluchi LLC Yemi Osunkoya.pdf</t>
        </is>
      </c>
      <c r="H4" t="inlineStr">
        <is>
          <t>bank/2026 - JUNE JULY AUGUST CAPITAL ONE TRANSACTIONS Yemi Osunkoya.csv#1</t>
        </is>
      </c>
      <c r="I4" t="inlineStr">
        <is>
          <t>bank/2026 - JUNE JULY AUGUST CAPITAL ONE TRANSACTIONS Yemi Osunkoya.csv</t>
        </is>
      </c>
      <c r="J4" s="13" t="n">
        <v>46181</v>
      </c>
      <c r="K4" s="13" t="n">
        <v>46265</v>
      </c>
      <c r="L4" s="27" t="n">
        <v>46283.90906828704</v>
      </c>
    </row>
    <row r="5">
      <c r="B5" s="13" t="n">
        <v>46254</v>
      </c>
      <c r="C5" t="inlineStr">
        <is>
          <t>Debit Card Purchase PACIFIC TRIMMING           NEW YORK       NY</t>
        </is>
      </c>
      <c r="D5" s="12" t="n">
        <v>30.9</v>
      </c>
      <c r="E5" t="inlineStr">
        <is>
          <t>debit</t>
        </is>
      </c>
      <c r="F5" t="inlineStr">
        <is>
          <t>Matched</t>
        </is>
      </c>
      <c r="G5" t="inlineStr">
        <is>
          <t>expenses/2026-08-19 Pacific Trimming &amp; Riri Cobrax Yemi Osunkoya.pdf</t>
        </is>
      </c>
      <c r="H5" t="inlineStr">
        <is>
          <t>bank/2026 - JUNE JULY AUGUST CAPITAL ONE TRANSACTIONS Yemi Osunkoya.csv#2</t>
        </is>
      </c>
      <c r="I5" t="inlineStr">
        <is>
          <t>bank/2026 - JUNE JULY AUGUST CAPITAL ONE TRANSACTIONS Yemi Osunkoya.csv</t>
        </is>
      </c>
      <c r="J5" s="13" t="n">
        <v>46181</v>
      </c>
      <c r="K5" s="13" t="n">
        <v>46265</v>
      </c>
      <c r="L5" s="27" t="n">
        <v>46283.90906828704</v>
      </c>
    </row>
    <row r="6">
      <c r="B6" s="15" t="n">
        <v>46252</v>
      </c>
      <c r="C6" s="16" t="inlineStr">
        <is>
          <t>TRANSFER WITHDRAWAL To ....9010</t>
        </is>
      </c>
      <c r="D6" s="17" t="n">
        <v>19.1</v>
      </c>
      <c r="E6" s="16" t="inlineStr">
        <is>
          <t>debit</t>
        </is>
      </c>
      <c r="F6" s="16" t="inlineStr">
        <is>
          <t>Ignored</t>
        </is>
      </c>
      <c r="G6" s="16" t="inlineStr"/>
      <c r="H6" s="16" t="inlineStr">
        <is>
          <t>bank/2026 - JUNE JULY AUGUST CAPITAL ONE TRANSACTIONS Yemi Osunkoya.csv#3</t>
        </is>
      </c>
      <c r="I6" s="16" t="inlineStr">
        <is>
          <t>bank/2026 - JUNE JULY AUGUST CAPITAL ONE TRANSACTIONS Yemi Osunkoya.csv</t>
        </is>
      </c>
      <c r="J6" s="15" t="n">
        <v>46181</v>
      </c>
      <c r="K6" s="15" t="n">
        <v>46265</v>
      </c>
      <c r="L6" s="28" t="n">
        <v>46283.90906828704</v>
      </c>
    </row>
    <row r="7">
      <c r="B7" s="15" t="n">
        <v>46251</v>
      </c>
      <c r="C7" s="16" t="inlineStr">
        <is>
          <t>TRANSFER WITHDRAWAL To ....0360</t>
        </is>
      </c>
      <c r="D7" s="17" t="n">
        <v>400</v>
      </c>
      <c r="E7" s="16" t="inlineStr">
        <is>
          <t>debit</t>
        </is>
      </c>
      <c r="F7" s="16" t="inlineStr">
        <is>
          <t>Ignored</t>
        </is>
      </c>
      <c r="G7" s="16" t="inlineStr"/>
      <c r="H7" s="16" t="inlineStr">
        <is>
          <t>bank/2026 - JUNE JULY AUGUST CAPITAL ONE TRANSACTIONS Yemi Osunkoya.csv#4</t>
        </is>
      </c>
      <c r="I7" s="16" t="inlineStr">
        <is>
          <t>bank/2026 - JUNE JULY AUGUST CAPITAL ONE TRANSACTIONS Yemi Osunkoya.csv</t>
        </is>
      </c>
      <c r="J7" s="15" t="n">
        <v>46181</v>
      </c>
      <c r="K7" s="15" t="n">
        <v>46265</v>
      </c>
      <c r="L7" s="28" t="n">
        <v>46283.90906828704</v>
      </c>
    </row>
    <row r="8">
      <c r="B8" s="15" t="n">
        <v>46251</v>
      </c>
      <c r="C8" s="16" t="inlineStr">
        <is>
          <t>ACH deposit Rock Paper Coin  Rock Paper KOSIBAH LLC            ST-S2R1T1E1I9F1</t>
        </is>
      </c>
      <c r="D8" s="17" t="n">
        <v>1326.92</v>
      </c>
      <c r="E8" s="16" t="inlineStr">
        <is>
          <t>credit</t>
        </is>
      </c>
      <c r="F8" s="16" t="inlineStr">
        <is>
          <t>Ignored</t>
        </is>
      </c>
      <c r="G8" s="16" t="inlineStr"/>
      <c r="H8" s="16" t="inlineStr">
        <is>
          <t>bank/2026 - JUNE JULY AUGUST CAPITAL ONE TRANSACTIONS Yemi Osunkoya.csv#5</t>
        </is>
      </c>
      <c r="I8" s="16" t="inlineStr">
        <is>
          <t>bank/2026 - JUNE JULY AUGUST CAPITAL ONE TRANSACTIONS Yemi Osunkoya.csv</t>
        </is>
      </c>
      <c r="J8" s="15" t="n">
        <v>46181</v>
      </c>
      <c r="K8" s="15" t="n">
        <v>46265</v>
      </c>
      <c r="L8" s="28" t="n">
        <v>46283.90906828704</v>
      </c>
    </row>
    <row r="9">
      <c r="B9" s="15" t="n">
        <v>46246</v>
      </c>
      <c r="C9" s="16" t="inlineStr">
        <is>
          <t>TRANSFER WITHDRAWAL To ....9010</t>
        </is>
      </c>
      <c r="D9" s="17" t="n">
        <v>10</v>
      </c>
      <c r="E9" s="16" t="inlineStr">
        <is>
          <t>debit</t>
        </is>
      </c>
      <c r="F9" s="16" t="inlineStr">
        <is>
          <t>Ignored</t>
        </is>
      </c>
      <c r="G9" s="16" t="inlineStr"/>
      <c r="H9" s="16" t="inlineStr">
        <is>
          <t>bank/2026 - JUNE JULY AUGUST CAPITAL ONE TRANSACTIONS Yemi Osunkoya.csv#6</t>
        </is>
      </c>
      <c r="I9" s="16" t="inlineStr">
        <is>
          <t>bank/2026 - JUNE JULY AUGUST CAPITAL ONE TRANSACTIONS Yemi Osunkoya.csv</t>
        </is>
      </c>
      <c r="J9" s="15" t="n">
        <v>46181</v>
      </c>
      <c r="K9" s="15" t="n">
        <v>46265</v>
      </c>
      <c r="L9" s="28" t="n">
        <v>46283.90906828704</v>
      </c>
    </row>
    <row r="10">
      <c r="B10" s="13" t="n">
        <v>46232</v>
      </c>
      <c r="C10" t="inlineStr">
        <is>
          <t>Recur Debit Card Purchase MUNALUCHI LLC              ...1272     NJ</t>
        </is>
      </c>
      <c r="D10" s="12" t="n">
        <v>99.98999999999999</v>
      </c>
      <c r="E10" t="inlineStr">
        <is>
          <t>debit</t>
        </is>
      </c>
      <c r="F10" t="inlineStr">
        <is>
          <t>Matched</t>
        </is>
      </c>
      <c r="G10" t="inlineStr">
        <is>
          <t>expenses/2026-07-29 Munaluchi LLC Yemi Osunkoya.pdf</t>
        </is>
      </c>
      <c r="H10" t="inlineStr">
        <is>
          <t>bank/2026 - JUNE JULY AUGUST CAPITAL ONE TRANSACTIONS Yemi Osunkoya.csv#7</t>
        </is>
      </c>
      <c r="I10" t="inlineStr">
        <is>
          <t>bank/2026 - JUNE JULY AUGUST CAPITAL ONE TRANSACTIONS Yemi Osunkoya.csv</t>
        </is>
      </c>
      <c r="J10" s="13" t="n">
        <v>46181</v>
      </c>
      <c r="K10" s="13" t="n">
        <v>46265</v>
      </c>
      <c r="L10" s="27" t="n">
        <v>46283.90906828704</v>
      </c>
    </row>
    <row r="11">
      <c r="B11" s="15" t="n">
        <v>46231</v>
      </c>
      <c r="C11" s="16" t="inlineStr">
        <is>
          <t>TRANSFER WITHDRAWAL To ....9010</t>
        </is>
      </c>
      <c r="D11" s="17" t="n">
        <v>10</v>
      </c>
      <c r="E11" s="16" t="inlineStr">
        <is>
          <t>debit</t>
        </is>
      </c>
      <c r="F11" s="16" t="inlineStr">
        <is>
          <t>Ignored</t>
        </is>
      </c>
      <c r="G11" s="16" t="inlineStr"/>
      <c r="H11" s="16" t="inlineStr">
        <is>
          <t>bank/2026 - JUNE JULY AUGUST CAPITAL ONE TRANSACTIONS Yemi Osunkoya.csv#8</t>
        </is>
      </c>
      <c r="I11" s="16" t="inlineStr">
        <is>
          <t>bank/2026 - JUNE JULY AUGUST CAPITAL ONE TRANSACTIONS Yemi Osunkoya.csv</t>
        </is>
      </c>
      <c r="J11" s="15" t="n">
        <v>46181</v>
      </c>
      <c r="K11" s="15" t="n">
        <v>46265</v>
      </c>
      <c r="L11" s="28" t="n">
        <v>46283.90906828704</v>
      </c>
    </row>
    <row r="12">
      <c r="B12" s="13" t="n">
        <v>46220</v>
      </c>
      <c r="C12" t="inlineStr">
        <is>
          <t>Debit Card Purchase STAR SNAPS                 NEW YORK       NY</t>
        </is>
      </c>
      <c r="D12" s="12" t="n">
        <v>40</v>
      </c>
      <c r="E12" t="inlineStr">
        <is>
          <t>debit</t>
        </is>
      </c>
      <c r="F12" t="inlineStr">
        <is>
          <t>Matched</t>
        </is>
      </c>
      <c r="G12" t="inlineStr">
        <is>
          <t>expenses/2026-07-16 Star Snaps INC Yemi Osunkoya.pdf</t>
        </is>
      </c>
      <c r="H12" t="inlineStr">
        <is>
          <t>bank/2026 - JUNE JULY AUGUST CAPITAL ONE TRANSACTIONS Yemi Osunkoya.csv#9</t>
        </is>
      </c>
      <c r="I12" t="inlineStr">
        <is>
          <t>bank/2026 - JUNE JULY AUGUST CAPITAL ONE TRANSACTIONS Yemi Osunkoya.csv</t>
        </is>
      </c>
      <c r="J12" s="13" t="n">
        <v>46181</v>
      </c>
      <c r="K12" s="13" t="n">
        <v>46265</v>
      </c>
      <c r="L12" s="27" t="n">
        <v>46283.90906828704</v>
      </c>
    </row>
    <row r="13">
      <c r="B13" s="15" t="n">
        <v>46219</v>
      </c>
      <c r="C13" s="16" t="inlineStr">
        <is>
          <t>TRANSFER WITHDRAWAL To ....9010</t>
        </is>
      </c>
      <c r="D13" s="17" t="n">
        <v>50</v>
      </c>
      <c r="E13" s="16" t="inlineStr">
        <is>
          <t>debit</t>
        </is>
      </c>
      <c r="F13" s="16" t="inlineStr">
        <is>
          <t>Ignored</t>
        </is>
      </c>
      <c r="G13" s="16" t="inlineStr"/>
      <c r="H13" s="16" t="inlineStr">
        <is>
          <t>bank/2026 - JUNE JULY AUGUST CAPITAL ONE TRANSACTIONS Yemi Osunkoya.csv#10</t>
        </is>
      </c>
      <c r="I13" s="16" t="inlineStr">
        <is>
          <t>bank/2026 - JUNE JULY AUGUST CAPITAL ONE TRANSACTIONS Yemi Osunkoya.csv</t>
        </is>
      </c>
      <c r="J13" s="15" t="n">
        <v>46181</v>
      </c>
      <c r="K13" s="15" t="n">
        <v>46265</v>
      </c>
      <c r="L13" s="28" t="n">
        <v>46283.90906828704</v>
      </c>
    </row>
    <row r="14">
      <c r="B14" s="15" t="n">
        <v>46218</v>
      </c>
      <c r="C14" s="16" t="inlineStr">
        <is>
          <t>TRANSFER WITHDRAWAL To ....0360</t>
        </is>
      </c>
      <c r="D14" s="17" t="n">
        <v>400</v>
      </c>
      <c r="E14" s="16" t="inlineStr">
        <is>
          <t>debit</t>
        </is>
      </c>
      <c r="F14" s="16" t="inlineStr">
        <is>
          <t>Ignored</t>
        </is>
      </c>
      <c r="G14" s="16" t="inlineStr"/>
      <c r="H14" s="16" t="inlineStr">
        <is>
          <t>bank/2026 - JUNE JULY AUGUST CAPITAL ONE TRANSACTIONS Yemi Osunkoya.csv#11</t>
        </is>
      </c>
      <c r="I14" s="16" t="inlineStr">
        <is>
          <t>bank/2026 - JUNE JULY AUGUST CAPITAL ONE TRANSACTIONS Yemi Osunkoya.csv</t>
        </is>
      </c>
      <c r="J14" s="15" t="n">
        <v>46181</v>
      </c>
      <c r="K14" s="15" t="n">
        <v>46265</v>
      </c>
      <c r="L14" s="28" t="n">
        <v>46283.90906828704</v>
      </c>
    </row>
    <row r="15">
      <c r="B15" s="13" t="n">
        <v>46216</v>
      </c>
      <c r="C15" t="inlineStr">
        <is>
          <t>Debit Card Purchase SIL THREAD                 NEW YORK       NY</t>
        </is>
      </c>
      <c r="D15" s="12" t="n">
        <v>76.25</v>
      </c>
      <c r="E15" t="inlineStr">
        <is>
          <t>debit</t>
        </is>
      </c>
      <c r="F15" t="inlineStr">
        <is>
          <t>Matched</t>
        </is>
      </c>
      <c r="G15" t="inlineStr">
        <is>
          <t>expenses/2026-07-10 SIL Thread INC Yemi Osunkoya.pdf</t>
        </is>
      </c>
      <c r="H15" t="inlineStr">
        <is>
          <t>bank/2026 - JUNE JULY AUGUST CAPITAL ONE TRANSACTIONS Yemi Osunkoya.csv#12</t>
        </is>
      </c>
      <c r="I15" t="inlineStr">
        <is>
          <t>bank/2026 - JUNE JULY AUGUST CAPITAL ONE TRANSACTIONS Yemi Osunkoya.csv</t>
        </is>
      </c>
      <c r="J15" s="13" t="n">
        <v>46181</v>
      </c>
      <c r="K15" s="13" t="n">
        <v>46265</v>
      </c>
      <c r="L15" s="27" t="n">
        <v>46283.90906828704</v>
      </c>
    </row>
    <row r="16">
      <c r="B16" s="13" t="n">
        <v>46216</v>
      </c>
      <c r="C16" t="inlineStr">
        <is>
          <t>Debit Card Purchase PACIFIC TRIMMING           NEW YORK       NY</t>
        </is>
      </c>
      <c r="D16" s="12" t="n">
        <v>54.58</v>
      </c>
      <c r="E16" t="inlineStr">
        <is>
          <t>debit</t>
        </is>
      </c>
      <c r="F16" t="inlineStr">
        <is>
          <t>Matched</t>
        </is>
      </c>
      <c r="G16" t="inlineStr">
        <is>
          <t>expenses/2026-07-10 Pacific Trimming &amp; Riri COBRAX Yemi Osunkoya.pdf</t>
        </is>
      </c>
      <c r="H16" t="inlineStr">
        <is>
          <t>bank/2026 - JUNE JULY AUGUST CAPITAL ONE TRANSACTIONS Yemi Osunkoya.csv#13</t>
        </is>
      </c>
      <c r="I16" t="inlineStr">
        <is>
          <t>bank/2026 - JUNE JULY AUGUST CAPITAL ONE TRANSACTIONS Yemi Osunkoya.csv</t>
        </is>
      </c>
      <c r="J16" s="13" t="n">
        <v>46181</v>
      </c>
      <c r="K16" s="13" t="n">
        <v>46265</v>
      </c>
      <c r="L16" s="27" t="n">
        <v>46283.90906828704</v>
      </c>
    </row>
    <row r="17">
      <c r="B17" s="13" t="n">
        <v>46205</v>
      </c>
      <c r="C17" t="inlineStr">
        <is>
          <t>Debit Card Purchase GUIDE FABRICS INC          NEW YORK       NY</t>
        </is>
      </c>
      <c r="D17" s="12" t="n">
        <v>30</v>
      </c>
      <c r="E17" t="inlineStr">
        <is>
          <t>debit</t>
        </is>
      </c>
      <c r="F17" t="inlineStr">
        <is>
          <t>Matched</t>
        </is>
      </c>
      <c r="G17" t="inlineStr">
        <is>
          <t>expenses/2026-07-01 Guide Fabrics INC Yemi Osunkoya.pdf</t>
        </is>
      </c>
      <c r="H17" t="inlineStr">
        <is>
          <t>bank/2026 - JUNE JULY AUGUST CAPITAL ONE TRANSACTIONS Yemi Osunkoya.csv#14</t>
        </is>
      </c>
      <c r="I17" t="inlineStr">
        <is>
          <t>bank/2026 - JUNE JULY AUGUST CAPITAL ONE TRANSACTIONS Yemi Osunkoya.csv</t>
        </is>
      </c>
      <c r="J17" s="13" t="n">
        <v>46181</v>
      </c>
      <c r="K17" s="13" t="n">
        <v>46265</v>
      </c>
      <c r="L17" s="27" t="n">
        <v>46283.90906828704</v>
      </c>
    </row>
    <row r="18">
      <c r="B18" s="13" t="n">
        <v>46204</v>
      </c>
      <c r="C18" t="inlineStr">
        <is>
          <t>Debit Card Purchase FABRIC HOUSE               NEW YORK       NY</t>
        </is>
      </c>
      <c r="D18" s="12" t="n">
        <v>435</v>
      </c>
      <c r="E18" t="inlineStr">
        <is>
          <t>debit</t>
        </is>
      </c>
      <c r="F18" t="inlineStr">
        <is>
          <t>Matched</t>
        </is>
      </c>
      <c r="G18" t="inlineStr">
        <is>
          <t>expenses/2026-06-30 FABRIC HOUSE Yemi Osunkoya.pdf</t>
        </is>
      </c>
      <c r="H18" t="inlineStr">
        <is>
          <t>bank/2026 - JUNE JULY AUGUST CAPITAL ONE TRANSACTIONS Yemi Osunkoya.csv#15</t>
        </is>
      </c>
      <c r="I18" t="inlineStr">
        <is>
          <t>bank/2026 - JUNE JULY AUGUST CAPITAL ONE TRANSACTIONS Yemi Osunkoya.csv</t>
        </is>
      </c>
      <c r="J18" s="13" t="n">
        <v>46181</v>
      </c>
      <c r="K18" s="13" t="n">
        <v>46265</v>
      </c>
      <c r="L18" s="27" t="n">
        <v>46283.90906828704</v>
      </c>
    </row>
    <row r="19">
      <c r="B19" s="13" t="n">
        <v>46204</v>
      </c>
      <c r="C19" t="inlineStr">
        <is>
          <t>Debit Card Purchase PREVIEW TEXTILES           212 764 1343   NY</t>
        </is>
      </c>
      <c r="D19" s="12" t="n">
        <v>168</v>
      </c>
      <c r="E19" t="inlineStr">
        <is>
          <t>debit</t>
        </is>
      </c>
      <c r="F19" t="inlineStr">
        <is>
          <t>Matched</t>
        </is>
      </c>
      <c r="G19" t="inlineStr">
        <is>
          <t>expenses/2026-06-30 Preview Textiles LLC Yemi Osunkoya.pdf</t>
        </is>
      </c>
      <c r="H19" t="inlineStr">
        <is>
          <t>bank/2026 - JUNE JULY AUGUST CAPITAL ONE TRANSACTIONS Yemi Osunkoya.csv#16</t>
        </is>
      </c>
      <c r="I19" t="inlineStr">
        <is>
          <t>bank/2026 - JUNE JULY AUGUST CAPITAL ONE TRANSACTIONS Yemi Osunkoya.csv</t>
        </is>
      </c>
      <c r="J19" s="13" t="n">
        <v>46181</v>
      </c>
      <c r="K19" s="13" t="n">
        <v>46265</v>
      </c>
      <c r="L19" s="27" t="n">
        <v>46283.90906828704</v>
      </c>
    </row>
    <row r="20">
      <c r="B20" s="13" t="n">
        <v>46204</v>
      </c>
      <c r="C20" t="inlineStr">
        <is>
          <t>Debit Card Purchase PREVIEW TEXTILES           212 764 1343   NY</t>
        </is>
      </c>
      <c r="D20" s="12" t="n">
        <v>120.75</v>
      </c>
      <c r="E20" t="inlineStr">
        <is>
          <t>debit</t>
        </is>
      </c>
      <c r="F20" t="inlineStr">
        <is>
          <t>Matched</t>
        </is>
      </c>
      <c r="G20" t="inlineStr">
        <is>
          <t>expenses/2026-06-30 Preview Textiles LLC II Yemi Osunkoya.pdf</t>
        </is>
      </c>
      <c r="H20" t="inlineStr">
        <is>
          <t>bank/2026 - JUNE JULY AUGUST CAPITAL ONE TRANSACTIONS Yemi Osunkoya.csv#17</t>
        </is>
      </c>
      <c r="I20" t="inlineStr">
        <is>
          <t>bank/2026 - JUNE JULY AUGUST CAPITAL ONE TRANSACTIONS Yemi Osunkoya.csv</t>
        </is>
      </c>
      <c r="J20" s="13" t="n">
        <v>46181</v>
      </c>
      <c r="K20" s="13" t="n">
        <v>46265</v>
      </c>
      <c r="L20" s="27" t="n">
        <v>46283.90906828704</v>
      </c>
    </row>
    <row r="21">
      <c r="B21" s="13" t="n">
        <v>46204</v>
      </c>
      <c r="C21" t="inlineStr">
        <is>
          <t>Debit Card Purchase PACIFIC TRIMMING           NEW YORK       NY</t>
        </is>
      </c>
      <c r="D21" s="12" t="n">
        <v>73.73999999999999</v>
      </c>
      <c r="E21" t="inlineStr">
        <is>
          <t>debit</t>
        </is>
      </c>
      <c r="F21" t="inlineStr">
        <is>
          <t>Matched</t>
        </is>
      </c>
      <c r="G21" t="inlineStr">
        <is>
          <t>expenses/2026-06-30 Pacific Trimming &amp; Riri COBRAX Yemi Osunkoya.pdf</t>
        </is>
      </c>
      <c r="H21" t="inlineStr">
        <is>
          <t>bank/2026 - JUNE JULY AUGUST CAPITAL ONE TRANSACTIONS Yemi Osunkoya.csv#18</t>
        </is>
      </c>
      <c r="I21" t="inlineStr">
        <is>
          <t>bank/2026 - JUNE JULY AUGUST CAPITAL ONE TRANSACTIONS Yemi Osunkoya.csv</t>
        </is>
      </c>
      <c r="J21" s="13" t="n">
        <v>46181</v>
      </c>
      <c r="K21" s="13" t="n">
        <v>46265</v>
      </c>
      <c r="L21" s="27" t="n">
        <v>46283.90906828704</v>
      </c>
    </row>
    <row r="22">
      <c r="B22" s="13" t="n">
        <v>46204</v>
      </c>
      <c r="C22" t="inlineStr">
        <is>
          <t>Debit Card Purchase GUIDE FABRICS INC          NEW YORK       NY</t>
        </is>
      </c>
      <c r="D22" s="12" t="n">
        <v>52.5</v>
      </c>
      <c r="E22" t="inlineStr">
        <is>
          <t>debit</t>
        </is>
      </c>
      <c r="F22" t="inlineStr">
        <is>
          <t>Matched</t>
        </is>
      </c>
      <c r="G22" t="inlineStr">
        <is>
          <t>expenses/2026-06-30 Guide Fabrics INC Yemi Osunkoya.pdf</t>
        </is>
      </c>
      <c r="H22" t="inlineStr">
        <is>
          <t>bank/2026 - JUNE JULY AUGUST CAPITAL ONE TRANSACTIONS Yemi Osunkoya.csv#19</t>
        </is>
      </c>
      <c r="I22" t="inlineStr">
        <is>
          <t>bank/2026 - JUNE JULY AUGUST CAPITAL ONE TRANSACTIONS Yemi Osunkoya.csv</t>
        </is>
      </c>
      <c r="J22" s="13" t="n">
        <v>46181</v>
      </c>
      <c r="K22" s="13" t="n">
        <v>46265</v>
      </c>
      <c r="L22" s="27" t="n">
        <v>46283.90906828704</v>
      </c>
    </row>
    <row r="23">
      <c r="B23" s="13" t="n">
        <v>46204</v>
      </c>
      <c r="C23" t="inlineStr">
        <is>
          <t>Debit Card Purchase SQ  B J FABRICS            NEW YORK       NY</t>
        </is>
      </c>
      <c r="D23" s="12" t="n">
        <v>50</v>
      </c>
      <c r="E23" t="inlineStr">
        <is>
          <t>debit</t>
        </is>
      </c>
      <c r="F23" t="inlineStr">
        <is>
          <t>Matched</t>
        </is>
      </c>
      <c r="G23" t="inlineStr">
        <is>
          <t>expenses/2026-06-30 B&amp;J Fabrics Yemi Osunkoya.pdf</t>
        </is>
      </c>
      <c r="H23" t="inlineStr">
        <is>
          <t>bank/2026 - JUNE JULY AUGUST CAPITAL ONE TRANSACTIONS Yemi Osunkoya.csv#20</t>
        </is>
      </c>
      <c r="I23" t="inlineStr">
        <is>
          <t>bank/2026 - JUNE JULY AUGUST CAPITAL ONE TRANSACTIONS Yemi Osunkoya.csv</t>
        </is>
      </c>
      <c r="J23" s="13" t="n">
        <v>46181</v>
      </c>
      <c r="K23" s="13" t="n">
        <v>46265</v>
      </c>
      <c r="L23" s="27" t="n">
        <v>46283.90906828704</v>
      </c>
    </row>
    <row r="24">
      <c r="B24" s="19" t="n">
        <v>46202</v>
      </c>
      <c r="C24" s="20" t="inlineStr">
        <is>
          <t>Recur Debit Card Purchase MUNALUCHI LLC              ...1272     NJ</t>
        </is>
      </c>
      <c r="D24" s="21" t="n">
        <v>99.98999999999999</v>
      </c>
      <c r="E24" s="20" t="inlineStr">
        <is>
          <t>debit</t>
        </is>
      </c>
      <c r="F24" s="20" t="inlineStr">
        <is>
          <t>No receipt</t>
        </is>
      </c>
      <c r="G24" s="20" t="inlineStr"/>
      <c r="H24" s="20" t="inlineStr">
        <is>
          <t>bank/2026 - JUNE JULY AUGUST CAPITAL ONE TRANSACTIONS Yemi Osunkoya.csv#21</t>
        </is>
      </c>
      <c r="I24" s="20" t="inlineStr">
        <is>
          <t>bank/2026 - JUNE JULY AUGUST CAPITAL ONE TRANSACTIONS Yemi Osunkoya.csv</t>
        </is>
      </c>
      <c r="J24" s="19" t="n">
        <v>46181</v>
      </c>
      <c r="K24" s="19" t="n">
        <v>46265</v>
      </c>
      <c r="L24" s="29" t="n">
        <v>46283.90906828704</v>
      </c>
    </row>
    <row r="25">
      <c r="B25" s="15" t="n">
        <v>46197</v>
      </c>
      <c r="C25" s="16" t="inlineStr">
        <is>
          <t>ACH deposit Rock Paper Coin  Rock Paper KOSIBAH LLC            ST-P5R4S1C8W5I2</t>
        </is>
      </c>
      <c r="D25" s="17" t="n">
        <v>238.85</v>
      </c>
      <c r="E25" s="16" t="inlineStr">
        <is>
          <t>credit</t>
        </is>
      </c>
      <c r="F25" s="16" t="inlineStr">
        <is>
          <t>Ignored</t>
        </is>
      </c>
      <c r="G25" s="16" t="inlineStr"/>
      <c r="H25" s="16" t="inlineStr">
        <is>
          <t>bank/2026 - JUNE JULY AUGUST CAPITAL ONE TRANSACTIONS Yemi Osunkoya.csv#22</t>
        </is>
      </c>
      <c r="I25" s="16" t="inlineStr">
        <is>
          <t>bank/2026 - JUNE JULY AUGUST CAPITAL ONE TRANSACTIONS Yemi Osunkoya.csv</t>
        </is>
      </c>
      <c r="J25" s="15" t="n">
        <v>46181</v>
      </c>
      <c r="K25" s="15" t="n">
        <v>46265</v>
      </c>
      <c r="L25" s="28" t="n">
        <v>46283.90906828704</v>
      </c>
    </row>
    <row r="26">
      <c r="B26" s="15" t="n">
        <v>46195</v>
      </c>
      <c r="C26" s="16" t="inlineStr">
        <is>
          <t>TRANSFER WITHDRAWAL TO ...8115</t>
        </is>
      </c>
      <c r="D26" s="17" t="n">
        <v>19.97</v>
      </c>
      <c r="E26" s="16" t="inlineStr">
        <is>
          <t>debit</t>
        </is>
      </c>
      <c r="F26" s="16" t="inlineStr">
        <is>
          <t>Ignored</t>
        </is>
      </c>
      <c r="G26" s="16" t="inlineStr"/>
      <c r="H26" s="16" t="inlineStr">
        <is>
          <t>bank/2026 - JUNE JULY AUGUST CAPITAL ONE TRANSACTIONS Yemi Osunkoya.csv#23</t>
        </is>
      </c>
      <c r="I26" s="16" t="inlineStr">
        <is>
          <t>bank/2026 - JUNE JULY AUGUST CAPITAL ONE TRANSACTIONS Yemi Osunkoya.csv</t>
        </is>
      </c>
      <c r="J26" s="15" t="n">
        <v>46181</v>
      </c>
      <c r="K26" s="15" t="n">
        <v>46265</v>
      </c>
      <c r="L26" s="28" t="n">
        <v>46283.90906828704</v>
      </c>
    </row>
    <row r="27">
      <c r="B27" s="13" t="n">
        <v>46188</v>
      </c>
      <c r="C27" t="inlineStr">
        <is>
          <t>Debit Card Purchase GUIDE FABRICS INC          NEW YORK       NY</t>
        </is>
      </c>
      <c r="D27" s="12" t="n">
        <v>160</v>
      </c>
      <c r="E27" t="inlineStr">
        <is>
          <t>debit</t>
        </is>
      </c>
      <c r="F27" t="inlineStr">
        <is>
          <t>Matched</t>
        </is>
      </c>
      <c r="G27" t="inlineStr">
        <is>
          <t>expenses/2026-06-12 Guide Fabrics INC Yemi Osunkoya.pdf</t>
        </is>
      </c>
      <c r="H27" t="inlineStr">
        <is>
          <t>bank/2026 - JUNE JULY AUGUST CAPITAL ONE TRANSACTIONS Yemi Osunkoya.csv#24</t>
        </is>
      </c>
      <c r="I27" t="inlineStr">
        <is>
          <t>bank/2026 - JUNE JULY AUGUST CAPITAL ONE TRANSACTIONS Yemi Osunkoya.csv</t>
        </is>
      </c>
      <c r="J27" s="13" t="n">
        <v>46181</v>
      </c>
      <c r="K27" s="13" t="n">
        <v>46265</v>
      </c>
      <c r="L27" s="27" t="n">
        <v>46283.90906828704</v>
      </c>
    </row>
    <row r="28">
      <c r="B28" s="13" t="n">
        <v>46188</v>
      </c>
      <c r="C28" t="inlineStr">
        <is>
          <t>Debit Card Purchase PACIFIC TRIMMING           NEW YORK       NY</t>
        </is>
      </c>
      <c r="D28" s="12" t="n">
        <v>19.5</v>
      </c>
      <c r="E28" t="inlineStr">
        <is>
          <t>debit</t>
        </is>
      </c>
      <c r="F28" t="inlineStr">
        <is>
          <t>Matched</t>
        </is>
      </c>
      <c r="G28" t="inlineStr">
        <is>
          <t>expenses/2026-06-12 Pacific Trimming Yemi Osunkoya.pdf</t>
        </is>
      </c>
      <c r="H28" t="inlineStr">
        <is>
          <t>bank/2026 - JUNE JULY AUGUST CAPITAL ONE TRANSACTIONS Yemi Osunkoya.csv#25</t>
        </is>
      </c>
      <c r="I28" t="inlineStr">
        <is>
          <t>bank/2026 - JUNE JULY AUGUST CAPITAL ONE TRANSACTIONS Yemi Osunkoya.csv</t>
        </is>
      </c>
      <c r="J28" s="13" t="n">
        <v>46181</v>
      </c>
      <c r="K28" s="13" t="n">
        <v>46265</v>
      </c>
      <c r="L28" s="27" t="n">
        <v>46283.90906828704</v>
      </c>
    </row>
    <row r="29">
      <c r="B29" s="13" t="n">
        <v>46184</v>
      </c>
      <c r="C29" t="inlineStr">
        <is>
          <t>Debit Card Purchase AMAZON COM GU0RA4LX3       AMZN COM BIL   WA</t>
        </is>
      </c>
      <c r="D29" s="12" t="n">
        <v>152.37</v>
      </c>
      <c r="E29" t="inlineStr">
        <is>
          <t>debit</t>
        </is>
      </c>
      <c r="F29" t="inlineStr">
        <is>
          <t>Matched</t>
        </is>
      </c>
      <c r="G29" t="inlineStr">
        <is>
          <t>expenses/2026-06-10 Amazon Yemi Osunkoya.pdf</t>
        </is>
      </c>
      <c r="H29" t="inlineStr">
        <is>
          <t>bank/2026 - JUNE JULY AUGUST CAPITAL ONE TRANSACTIONS Yemi Osunkoya.csv#26</t>
        </is>
      </c>
      <c r="I29" t="inlineStr">
        <is>
          <t>bank/2026 - JUNE JULY AUGUST CAPITAL ONE TRANSACTIONS Yemi Osunkoya.csv</t>
        </is>
      </c>
      <c r="J29" s="13" t="n">
        <v>46181</v>
      </c>
      <c r="K29" s="13" t="n">
        <v>46265</v>
      </c>
      <c r="L29" s="27" t="n">
        <v>46283.90906828704</v>
      </c>
    </row>
    <row r="30">
      <c r="B30" s="15" t="n">
        <v>46183</v>
      </c>
      <c r="C30" s="16" t="inlineStr">
        <is>
          <t>ACH deposit Rock Paper Coin  Rock Paper KOSIBAH LLC            ST-G7A6Q4Y1X1I5</t>
        </is>
      </c>
      <c r="D30" s="17" t="n">
        <v>663.46</v>
      </c>
      <c r="E30" s="16" t="inlineStr">
        <is>
          <t>credit</t>
        </is>
      </c>
      <c r="F30" s="16" t="inlineStr">
        <is>
          <t>Ignored</t>
        </is>
      </c>
      <c r="G30" s="16" t="inlineStr"/>
      <c r="H30" s="16" t="inlineStr">
        <is>
          <t>bank/2026 - JUNE JULY AUGUST CAPITAL ONE TRANSACTIONS Yemi Osunkoya.csv#27</t>
        </is>
      </c>
      <c r="I30" s="16" t="inlineStr">
        <is>
          <t>bank/2026 - JUNE JULY AUGUST CAPITAL ONE TRANSACTIONS Yemi Osunkoya.csv</t>
        </is>
      </c>
      <c r="J30" s="15" t="n">
        <v>46181</v>
      </c>
      <c r="K30" s="15" t="n">
        <v>46265</v>
      </c>
      <c r="L30" s="28" t="n">
        <v>46283.90906828704</v>
      </c>
    </row>
    <row r="31">
      <c r="B31" s="15" t="n">
        <v>46181</v>
      </c>
      <c r="C31" s="16" t="inlineStr">
        <is>
          <t>ACH deposit Rock Paper Coin  Rock Paper KOSIBAH LLC            ST-A3S6Y0M9V9H5</t>
        </is>
      </c>
      <c r="D31" s="17" t="n">
        <v>1592.3</v>
      </c>
      <c r="E31" s="16" t="inlineStr">
        <is>
          <t>credit</t>
        </is>
      </c>
      <c r="F31" s="16" t="inlineStr">
        <is>
          <t>Ignored</t>
        </is>
      </c>
      <c r="G31" s="16" t="inlineStr"/>
      <c r="H31" s="16" t="inlineStr">
        <is>
          <t>bank/2026 - JUNE JULY AUGUST CAPITAL ONE TRANSACTIONS Yemi Osunkoya.csv#28</t>
        </is>
      </c>
      <c r="I31" s="16" t="inlineStr">
        <is>
          <t>bank/2026 - JUNE JULY AUGUST CAPITAL ONE TRANSACTIONS Yemi Osunkoya.csv</t>
        </is>
      </c>
      <c r="J31" s="15" t="n">
        <v>46181</v>
      </c>
      <c r="K31" s="15" t="n">
        <v>46265</v>
      </c>
      <c r="L31" s="28" t="n">
        <v>46283.90906828704</v>
      </c>
    </row>
    <row r="3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2026-09-18T21:49:03Z</dcterms:created>
  <dcterms:modified xmlns:dcterms="http://purl.org/dc/terms/" xmlns:xsi="http://www.w3.org/2001/XMLSchema-instance" xsi:type="dcterms:W3CDTF">2026-09-21T20:41:06Z</dcterms:modified>
</cp:coreProperties>
</file>